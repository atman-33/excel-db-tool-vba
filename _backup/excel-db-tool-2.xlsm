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excel-db-tool-vba\"/>
    </mc:Choice>
  </mc:AlternateContent>
  <xr:revisionPtr revIDLastSave="0" documentId="8_{424C4D8E-A799-4E3A-A106-E7F2993A68F5}" xr6:coauthVersionLast="47" xr6:coauthVersionMax="47" xr10:uidLastSave="{00000000-0000-0000-0000-000000000000}"/>
  <bookViews>
    <workbookView xWindow="-28920" yWindow="-120" windowWidth="29040" windowHeight="15720" tabRatio="724" xr2:uid="{5AC5576F-C4BF-455E-AD8A-6C5A2F92D1ED}"/>
  </bookViews>
  <sheets>
    <sheet name="OracleSQL" sheetId="16" r:id="rId1"/>
    <sheet name="main" sheetId="1" r:id="rId2"/>
    <sheet name="beforeDB" sheetId="2" r:id="rId3"/>
    <sheet name="BatchQuery" sheetId="28" r:id="rId4"/>
    <sheet name="BatchResult" sheetId="29" r:id="rId5"/>
    <sheet name="SingleTable" sheetId="1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" i="14" l="1"/>
  <c r="H1" i="14"/>
  <c r="F1" i="14"/>
  <c r="D1" i="14"/>
  <c r="B1" i="14"/>
  <c r="F26" i="2"/>
</calcChain>
</file>

<file path=xl/sharedStrings.xml><?xml version="1.0" encoding="utf-8"?>
<sst xmlns="http://schemas.openxmlformats.org/spreadsheetml/2006/main" count="380" uniqueCount="213">
  <si>
    <t>Description</t>
    <phoneticPr fontId="1"/>
  </si>
  <si>
    <t>Case</t>
    <phoneticPr fontId="1"/>
  </si>
  <si>
    <t>Point</t>
    <phoneticPr fontId="1"/>
  </si>
  <si>
    <t>Shot</t>
    <phoneticPr fontId="1"/>
  </si>
  <si>
    <t>No.</t>
    <phoneticPr fontId="1"/>
  </si>
  <si>
    <t>Action</t>
    <phoneticPr fontId="1"/>
  </si>
  <si>
    <t>ELEVATOR_NO</t>
  </si>
  <si>
    <t>001</t>
  </si>
  <si>
    <t>列名１</t>
    <rPh sb="0" eb="2">
      <t>レツメイ</t>
    </rPh>
    <phoneticPr fontId="1"/>
  </si>
  <si>
    <t>列名２</t>
    <rPh sb="0" eb="2">
      <t>レツメイ</t>
    </rPh>
    <phoneticPr fontId="1"/>
  </si>
  <si>
    <t>列名３</t>
    <rPh sb="0" eb="2">
      <t>レツメイ</t>
    </rPh>
    <phoneticPr fontId="1"/>
  </si>
  <si>
    <t>列名４</t>
    <rPh sb="0" eb="2">
      <t>レツメイ</t>
    </rPh>
    <phoneticPr fontId="1"/>
  </si>
  <si>
    <t>列名５</t>
    <rPh sb="0" eb="2">
      <t>レツメイ</t>
    </rPh>
    <phoneticPr fontId="1"/>
  </si>
  <si>
    <t>列名６</t>
    <rPh sb="0" eb="2">
      <t>レツメイ</t>
    </rPh>
    <phoneticPr fontId="1"/>
  </si>
  <si>
    <t>列名７</t>
    <rPh sb="0" eb="2">
      <t>レツメイ</t>
    </rPh>
    <phoneticPr fontId="1"/>
  </si>
  <si>
    <t>列名８</t>
    <rPh sb="0" eb="2">
      <t>レツメイ</t>
    </rPh>
    <phoneticPr fontId="1"/>
  </si>
  <si>
    <t>ELEVATOR_ID</t>
  </si>
  <si>
    <t>BUILD_ID</t>
  </si>
  <si>
    <t>ELEVATOR_NAME</t>
  </si>
  <si>
    <t>CIRCUIT_BANK</t>
  </si>
  <si>
    <t>MOP_NO</t>
  </si>
  <si>
    <t>TOP_FLOOR</t>
  </si>
  <si>
    <t>BOTTOM_FLOOR</t>
  </si>
  <si>
    <t>接続ユーザ</t>
  </si>
  <si>
    <t>IF表示有EVL</t>
  </si>
  <si>
    <t>002</t>
  </si>
  <si>
    <t>IF表示無EVL</t>
  </si>
  <si>
    <t>IF表示EVL2</t>
  </si>
  <si>
    <t>BUILD_NO</t>
  </si>
  <si>
    <t>SUB_BUILD_NO</t>
  </si>
  <si>
    <t>BUILD_NAME</t>
  </si>
  <si>
    <t>BRANCH_ID</t>
  </si>
  <si>
    <t>USER_ID</t>
  </si>
  <si>
    <t>MENT_ID</t>
  </si>
  <si>
    <t>BUILD_PASSWORD</t>
  </si>
  <si>
    <t>システムプラザC館</t>
  </si>
  <si>
    <t>123AAS</t>
  </si>
  <si>
    <t>21DDF</t>
  </si>
  <si>
    <t>システムプラザD館</t>
  </si>
  <si>
    <t>広島ビル</t>
  </si>
  <si>
    <t>lqwangxg</t>
  </si>
  <si>
    <t>Expect</t>
    <phoneticPr fontId="1"/>
  </si>
  <si>
    <t>Actural</t>
    <phoneticPr fontId="1"/>
  </si>
  <si>
    <t>S001</t>
    <phoneticPr fontId="1"/>
  </si>
  <si>
    <t>Action1</t>
    <phoneticPr fontId="1"/>
  </si>
  <si>
    <t>ExDB</t>
    <phoneticPr fontId="1"/>
  </si>
  <si>
    <t>ActDB</t>
    <phoneticPr fontId="1"/>
  </si>
  <si>
    <t>retDB1</t>
    <phoneticPr fontId="1"/>
  </si>
  <si>
    <t>exDBT1</t>
    <phoneticPr fontId="1"/>
  </si>
  <si>
    <t>BUILD_INFO</t>
    <phoneticPr fontId="1"/>
  </si>
  <si>
    <t>建物情報</t>
    <rPh sb="0" eb="2">
      <t>タテモノ</t>
    </rPh>
    <rPh sb="2" eb="4">
      <t>ジョウホウ</t>
    </rPh>
    <phoneticPr fontId="1"/>
  </si>
  <si>
    <t>TABLE</t>
    <phoneticPr fontId="1"/>
  </si>
  <si>
    <t>Before</t>
    <phoneticPr fontId="1"/>
  </si>
  <si>
    <t>After</t>
    <phoneticPr fontId="1"/>
  </si>
  <si>
    <t>SelectDB</t>
    <phoneticPr fontId="1"/>
  </si>
  <si>
    <t>InsertDB</t>
    <phoneticPr fontId="1"/>
  </si>
  <si>
    <t>SELECT * FROM MAINTENANCE_INFO WHERE ROWNUM&lt;=1</t>
    <phoneticPr fontId="1"/>
  </si>
  <si>
    <t>USERID</t>
    <phoneticPr fontId="1"/>
  </si>
  <si>
    <t>SID</t>
    <phoneticPr fontId="1"/>
  </si>
  <si>
    <t>HOST</t>
    <phoneticPr fontId="1"/>
  </si>
  <si>
    <t>PORT</t>
    <phoneticPr fontId="1"/>
  </si>
  <si>
    <t>deleteDB</t>
    <phoneticPr fontId="1"/>
  </si>
  <si>
    <t>SQL</t>
    <phoneticPr fontId="1"/>
  </si>
  <si>
    <t>beforeDB</t>
  </si>
  <si>
    <t>CRUD</t>
    <phoneticPr fontId="1"/>
  </si>
  <si>
    <t>D</t>
    <phoneticPr fontId="1"/>
  </si>
  <si>
    <t>C</t>
    <phoneticPr fontId="1"/>
  </si>
  <si>
    <t>#before</t>
    <phoneticPr fontId="1"/>
  </si>
  <si>
    <t>CHAR</t>
    <phoneticPr fontId="1"/>
  </si>
  <si>
    <t>SELECT * FROM TAB ORDER BY TNAME</t>
    <phoneticPr fontId="1"/>
  </si>
  <si>
    <t>CNAME</t>
    <phoneticPr fontId="1"/>
  </si>
  <si>
    <t>COLTYPE</t>
    <phoneticPr fontId="1"/>
  </si>
  <si>
    <t>WIDTH</t>
    <phoneticPr fontId="1"/>
  </si>
  <si>
    <t>COMMENT</t>
    <phoneticPr fontId="1"/>
  </si>
  <si>
    <t>NULL</t>
    <phoneticPr fontId="1"/>
  </si>
  <si>
    <t>NOTNULL</t>
    <phoneticPr fontId="1"/>
  </si>
  <si>
    <t>NULLS</t>
    <phoneticPr fontId="1"/>
  </si>
  <si>
    <t>テーブル名</t>
    <rPh sb="4" eb="5">
      <t>メイ</t>
    </rPh>
    <phoneticPr fontId="1"/>
  </si>
  <si>
    <t>1</t>
    <phoneticPr fontId="1"/>
  </si>
  <si>
    <t>2</t>
    <phoneticPr fontId="1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</si>
  <si>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</si>
  <si>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</si>
  <si>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</si>
  <si>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</si>
  <si>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</si>
  <si>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</si>
  <si>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</si>
  <si>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</si>
  <si>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</si>
  <si>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</si>
  <si>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</si>
  <si>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</si>
  <si>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</si>
  <si>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</si>
  <si>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</si>
  <si>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</si>
  <si>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</si>
  <si>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</si>
  <si>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ROWNUM</t>
    <phoneticPr fontId="1"/>
  </si>
  <si>
    <t>メッセージ</t>
    <phoneticPr fontId="1"/>
  </si>
  <si>
    <t>SELECT TNAME FROM TAB WHERE TNAME='{TNAME}'</t>
  </si>
  <si>
    <t>COMMENT ON COLUMN {TNAME}.{CNAME} IS '{COMMENT}';</t>
  </si>
  <si>
    <t>ORDERBY</t>
    <phoneticPr fontId="1"/>
  </si>
  <si>
    <t>ColorIndex</t>
    <phoneticPr fontId="1"/>
  </si>
  <si>
    <t>COMMENT ON TABLE {TNAME} IS '{COMMENT}';</t>
    <phoneticPr fontId="1"/>
  </si>
  <si>
    <t>列名</t>
    <rPh sb="0" eb="2">
      <t>レツメイ</t>
    </rPh>
    <phoneticPr fontId="1"/>
  </si>
  <si>
    <t>列英名</t>
    <rPh sb="0" eb="1">
      <t>レツ</t>
    </rPh>
    <rPh sb="1" eb="3">
      <t>エイメイ</t>
    </rPh>
    <phoneticPr fontId="1"/>
  </si>
  <si>
    <t>型</t>
    <rPh sb="0" eb="1">
      <t>カタ</t>
    </rPh>
    <phoneticPr fontId="1"/>
  </si>
  <si>
    <t>ConnectString</t>
    <phoneticPr fontId="1"/>
  </si>
  <si>
    <t>検索条件⇨</t>
    <rPh sb="0" eb="2">
      <t>ケンサク</t>
    </rPh>
    <rPh sb="2" eb="4">
      <t>ジョウケン</t>
    </rPh>
    <phoneticPr fontId="1"/>
  </si>
  <si>
    <t>SELECT
  COMMENTS 
FROM
  USER_TAB_COMMENTS { DBLINK } 
WHERE
  TABLE_NAME = '{TNAME}'</t>
    <phoneticPr fontId="1"/>
  </si>
  <si>
    <t>GetTableColumnsInfo</t>
    <phoneticPr fontId="1"/>
  </si>
  <si>
    <t>GetTableComment</t>
    <phoneticPr fontId="1"/>
  </si>
  <si>
    <t>SetTableComment</t>
    <phoneticPr fontId="1"/>
  </si>
  <si>
    <t>SetColumnComment</t>
    <phoneticPr fontId="1"/>
  </si>
  <si>
    <t>ExistTable</t>
    <phoneticPr fontId="1"/>
  </si>
  <si>
    <t>GetPkeys</t>
    <phoneticPr fontId="1"/>
  </si>
  <si>
    <t>GetTables</t>
    <phoneticPr fontId="1"/>
  </si>
  <si>
    <t>ID</t>
    <phoneticPr fontId="1"/>
  </si>
  <si>
    <t>Parameters</t>
    <phoneticPr fontId="1"/>
  </si>
  <si>
    <t>TNAME</t>
    <phoneticPr fontId="1"/>
  </si>
  <si>
    <t>TNAME
COMMENT</t>
    <phoneticPr fontId="1"/>
  </si>
  <si>
    <t>TNAME
CNAME
COMMENT</t>
    <phoneticPr fontId="1"/>
  </si>
  <si>
    <t>Return</t>
    <phoneticPr fontId="1"/>
  </si>
  <si>
    <t>table</t>
    <phoneticPr fontId="1"/>
  </si>
  <si>
    <t>string</t>
    <phoneticPr fontId="1"/>
  </si>
  <si>
    <t>int</t>
    <phoneticPr fontId="1"/>
  </si>
  <si>
    <t>TNAME
DBLINK</t>
    <phoneticPr fontId="1"/>
  </si>
  <si>
    <t>TNAME
OWNER</t>
    <phoneticPr fontId="1"/>
  </si>
  <si>
    <t>SELECT
  COLS.COLUMN_NAME 
FROM
  ALL_CONSTRAINTS CONS
  , ALL_CONS_COLUMNS COLS 
WHERE
  COLS.TABLE_NAME = '{TNAME}' 
  AND CONS.CONSTRAINT_TYPE = 'P' 
  AND CONS.CONSTRAINT_NAME = COLS.CONSTRAINT_NAME 
  AND CONS.OWNER = COLS.OWNER 
  AND CONS.OWNER = '{OWNER}'</t>
    <phoneticPr fontId="1"/>
  </si>
  <si>
    <t>User ID={OWNER}; Password={PASSWORD}; Data Source=(DESCRIPTION=(ADDRESS=(PROTOCOL=tcp)(HOST={HOST})(PORT={PORT}))(CONNECT_DATA=(SERVICE_NAME={SID})))</t>
    <phoneticPr fontId="1"/>
  </si>
  <si>
    <t>OWNER
PASSWORD
HOST
PORT
SID</t>
    <phoneticPr fontId="1"/>
  </si>
  <si>
    <t>SELECT
          COL.CNAME
          , COL.COLTYPE
          , COL.SCALE
          , NVL(COL.PRECISION, COL.WIDTH) WIDTH
          , COL.NULLS
          , PK.CONSTRAINT_TYPE
          , NM.COMMENTS 
          , COL.DEFAULTVAL
        FROM
          COL{DBLINK} ,
          USER_COL_COMMENTS{DBLINK} NM 
          , ( 
            SELECT
              COLS.TABLE_NAME
              , COLS.COLUMN_NAME
              , CONS.CONSTRAINT_TYPE 
            FROM
                ALL_CONSTRAINTS CONS
              , ALL_CONS_COLUMNS COLS 
            WHERE
              CONS.CONSTRAINT_TYPE = 'P' 
              AND CONS.CONSTRAINT_NAME = COLS.CONSTRAINT_NAME 
              AND CONS.OWNER = COLS.OWNER 
              AND CONS.OWNER = '{OWNER}'
          ) PK
        WHERE
          COL.TNAME = PK.TABLE_NAME(+) 
          AND COL.CNAME = PK.COLUMN_NAME(+) 
          AND COL.TNAME = '{TNAME}' 
          AND COL.TNAME = NM.TABLE_NAME 
          AND COL.CNAME = NM.COLUMN_NAME 
        ORDER BY
          COL.COLNO</t>
    <phoneticPr fontId="1"/>
  </si>
  <si>
    <t>OWNER
TNAME
DBLINK</t>
    <phoneticPr fontId="1"/>
  </si>
  <si>
    <t>NUMBER</t>
  </si>
  <si>
    <t>NOT NULL</t>
  </si>
  <si>
    <t>VARCHAR2</t>
  </si>
  <si>
    <t>桁数</t>
    <rPh sb="0" eb="2">
      <t>ケタスウ</t>
    </rPh>
    <phoneticPr fontId="1"/>
  </si>
  <si>
    <t>↓削除フラグ↓</t>
    <rPh sb="1" eb="3">
      <t>サクジョ</t>
    </rPh>
    <phoneticPr fontId="1"/>
  </si>
  <si>
    <t>1</t>
  </si>
  <si>
    <t>2</t>
  </si>
  <si>
    <t>PASSWORD</t>
    <phoneticPr fontId="1"/>
  </si>
  <si>
    <t>NULL</t>
  </si>
  <si>
    <t>TABLE再表示</t>
    <rPh sb="5" eb="8">
      <t>サイヒョウジ</t>
    </rPh>
    <phoneticPr fontId="1"/>
  </si>
  <si>
    <t>1,0</t>
  </si>
  <si>
    <t>0</t>
  </si>
  <si>
    <t>1521</t>
    <phoneticPr fontId="1"/>
  </si>
  <si>
    <t>20</t>
    <phoneticPr fontId="1"/>
  </si>
  <si>
    <t>SELECT</t>
    <phoneticPr fontId="1"/>
  </si>
  <si>
    <t>FROM</t>
    <phoneticPr fontId="1"/>
  </si>
  <si>
    <t>WHERE</t>
    <phoneticPr fontId="1"/>
  </si>
  <si>
    <t>GROUPBY</t>
    <phoneticPr fontId="1"/>
  </si>
  <si>
    <t>#SQL</t>
    <phoneticPr fontId="1"/>
  </si>
  <si>
    <t>No./ExecFLag</t>
    <phoneticPr fontId="1"/>
  </si>
  <si>
    <t>*</t>
    <phoneticPr fontId="1"/>
  </si>
  <si>
    <t>COLUMNS</t>
    <phoneticPr fontId="1"/>
  </si>
  <si>
    <t>INSERT VALUES</t>
    <phoneticPr fontId="1"/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</si>
  <si>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</si>
  <si>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</si>
  <si>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</si>
  <si>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</si>
  <si>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</si>
  <si>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</si>
  <si>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</si>
  <si>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</si>
  <si>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</si>
  <si>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</si>
  <si>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SQL文（本欄に直接コピーして、SQL実行可能）</t>
    <rPh sb="3" eb="4">
      <t>ブン</t>
    </rPh>
    <rPh sb="5" eb="7">
      <t>ホンラン</t>
    </rPh>
    <rPh sb="8" eb="10">
      <t>チョクセツ</t>
    </rPh>
    <rPh sb="19" eb="21">
      <t>ジッコウ</t>
    </rPh>
    <rPh sb="21" eb="23">
      <t>カノウ</t>
    </rPh>
    <phoneticPr fontId="1"/>
  </si>
  <si>
    <t>ESTMNO</t>
  </si>
  <si>
    <t>ESTMSUB</t>
  </si>
  <si>
    <t>SUPSEQ</t>
  </si>
  <si>
    <t>ANSSEQ</t>
  </si>
  <si>
    <t>CREATE_USER_CD</t>
  </si>
  <si>
    <t>CREATE_DATE</t>
  </si>
  <si>
    <t>UPDATE_USER_CD</t>
  </si>
  <si>
    <t>UPDATE_DATE</t>
  </si>
  <si>
    <t>USER_DATA_ID</t>
  </si>
  <si>
    <t>123001</t>
  </si>
  <si>
    <t>NO</t>
  </si>
  <si>
    <t>ANSDIV</t>
  </si>
  <si>
    <t>ITEMSEQ</t>
  </si>
  <si>
    <t>G121000001</t>
  </si>
  <si>
    <t>CHAR</t>
  </si>
  <si>
    <t>3,0</t>
  </si>
  <si>
    <t>2,0</t>
  </si>
  <si>
    <t>ND039</t>
    <phoneticPr fontId="1"/>
  </si>
  <si>
    <t xml:space="preserve"> SELECT USER_DATA_ID,NO,ESTMNO,ESTMSUB,SUPSEQ,ANSSEQ,ANSDIV,ITEMSEQ,CREATE_USER_CD,CREATE_DATE,UPDATE_USER_CD,UPDATE_DATE FROM ND039 WHERE  ROWNUM&lt;=20 ORDER BY 1</t>
    <phoneticPr fontId="1"/>
  </si>
  <si>
    <t>5it5nr9fyi1hb1c</t>
  </si>
  <si>
    <t>Z181000018</t>
  </si>
  <si>
    <t>2019/11/27</t>
  </si>
  <si>
    <t>14:30:16</t>
  </si>
  <si>
    <t>5j3i0vexdpm5oma</t>
  </si>
  <si>
    <t>2022/03/07</t>
  </si>
  <si>
    <t>16:13:50</t>
  </si>
  <si>
    <t>5j3i2omqy7z2v83</t>
  </si>
  <si>
    <t>G121000002</t>
  </si>
  <si>
    <t>2022/03/11</t>
  </si>
  <si>
    <t>10:51:11</t>
  </si>
  <si>
    <t>USER_DATA_ID(PK)</t>
  </si>
  <si>
    <t>NO(PK)</t>
  </si>
  <si>
    <t>aaa</t>
  </si>
  <si>
    <t>件数多い場合、.netとExcel間データ連携異常の恐れがあります。ROWNUMで件数制限をおすすめです。</t>
    <rPh sb="0" eb="2">
      <t>ケンスウ</t>
    </rPh>
    <rPh sb="2" eb="3">
      <t>オオ</t>
    </rPh>
    <rPh sb="4" eb="6">
      <t>バアイ</t>
    </rPh>
    <rPh sb="17" eb="18">
      <t>カン</t>
    </rPh>
    <rPh sb="21" eb="23">
      <t>レンケイ</t>
    </rPh>
    <rPh sb="23" eb="25">
      <t>イジョウ</t>
    </rPh>
    <rPh sb="26" eb="27">
      <t>オソ</t>
    </rPh>
    <rPh sb="41" eb="43">
      <t>ケンス</t>
    </rPh>
    <rPh sb="43" eb="45">
      <t>セイゲン</t>
    </rPh>
    <phoneticPr fontId="1"/>
  </si>
  <si>
    <t>localhost</t>
    <phoneticPr fontId="1"/>
  </si>
  <si>
    <t>XEPDB1</t>
    <phoneticPr fontId="1"/>
  </si>
  <si>
    <t>atman</t>
    <phoneticPr fontId="1"/>
  </si>
  <si>
    <t>test_tbl</t>
    <phoneticPr fontId="1"/>
  </si>
  <si>
    <t>検索件数:2</t>
  </si>
  <si>
    <t>ID</t>
  </si>
  <si>
    <t>NAME</t>
  </si>
  <si>
    <t>bbb</t>
  </si>
  <si>
    <t>SELECT * FROM test_tbl</t>
  </si>
  <si>
    <t>SELECT * FROM test_tbl</t>
    <phoneticPr fontId="1"/>
  </si>
  <si>
    <t>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</si>
</sst>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11"/>
      <color theme="1"/>
      <name val="Microsoft YaHei"/>
      <family val="2"/>
      <charset val="134"/>
    </font>
    <font>
      <sz val="11"/>
      <color theme="1"/>
      <name val="游ゴシック"/>
      <family val="2"/>
      <charset val="134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sz val="9"/>
      <color theme="1"/>
      <name val="游ゴシック"/>
      <family val="2"/>
      <charset val="128"/>
      <scheme val="minor"/>
    </font>
    <font>
      <sz val="9"/>
      <color rgb="FFFF0000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theme="7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4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3" borderId="2" xfId="0" applyFill="1" applyBorder="1">
      <alignment vertical="center"/>
    </xf>
    <xf numFmtId="0" fontId="0" fillId="3" borderId="4" xfId="0" applyFill="1" applyBorder="1">
      <alignment vertical="center"/>
    </xf>
    <xf numFmtId="0" fontId="3" fillId="4" borderId="1" xfId="1" applyFont="1" applyFill="1" applyBorder="1">
      <alignment vertical="center"/>
    </xf>
    <xf numFmtId="0" fontId="2" fillId="0" borderId="1" xfId="1" applyBorder="1">
      <alignment vertical="center"/>
    </xf>
    <xf numFmtId="1" fontId="2" fillId="0" borderId="1" xfId="1" applyNumberFormat="1" applyBorder="1">
      <alignment vertical="center"/>
    </xf>
    <xf numFmtId="49" fontId="0" fillId="0" borderId="0" xfId="0" applyNumberFormat="1">
      <alignment vertical="center"/>
    </xf>
    <xf numFmtId="49" fontId="0" fillId="3" borderId="2" xfId="0" applyNumberFormat="1" applyFill="1" applyBorder="1">
      <alignment vertical="center"/>
    </xf>
    <xf numFmtId="49" fontId="0" fillId="3" borderId="3" xfId="0" applyNumberFormat="1" applyFill="1" applyBorder="1">
      <alignment vertical="center"/>
    </xf>
    <xf numFmtId="49" fontId="0" fillId="3" borderId="5" xfId="0" applyNumberFormat="1" applyFill="1" applyBorder="1">
      <alignment vertical="center"/>
    </xf>
    <xf numFmtId="49" fontId="4" fillId="5" borderId="5" xfId="0" applyNumberFormat="1" applyFont="1" applyFill="1" applyBorder="1">
      <alignment vertical="center"/>
    </xf>
    <xf numFmtId="49" fontId="6" fillId="3" borderId="8" xfId="0" applyNumberFormat="1" applyFont="1" applyFill="1" applyBorder="1">
      <alignment vertical="center"/>
    </xf>
    <xf numFmtId="49" fontId="0" fillId="2" borderId="6" xfId="0" applyNumberFormat="1" applyFill="1" applyBorder="1" applyAlignment="1">
      <alignment vertical="center" shrinkToFit="1"/>
    </xf>
    <xf numFmtId="49" fontId="6" fillId="5" borderId="6" xfId="0" applyNumberFormat="1" applyFont="1" applyFill="1" applyBorder="1" applyAlignment="1">
      <alignment vertical="center" shrinkToFit="1"/>
    </xf>
    <xf numFmtId="49" fontId="6" fillId="6" borderId="9" xfId="0" applyNumberFormat="1" applyFont="1" applyFill="1" applyBorder="1" applyAlignment="1">
      <alignment vertical="center" shrinkToFit="1"/>
    </xf>
    <xf numFmtId="49" fontId="0" fillId="0" borderId="1" xfId="0" applyNumberFormat="1" applyBorder="1">
      <alignment vertical="center"/>
    </xf>
    <xf numFmtId="49" fontId="0" fillId="0" borderId="2" xfId="0" applyNumberFormat="1" applyBorder="1">
      <alignment vertical="center"/>
    </xf>
    <xf numFmtId="49" fontId="5" fillId="0" borderId="6" xfId="0" applyNumberFormat="1" applyFont="1" applyBorder="1">
      <alignment vertical="center"/>
    </xf>
    <xf numFmtId="49" fontId="0" fillId="0" borderId="6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7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7" fillId="0" borderId="0" xfId="0" applyNumberFormat="1" applyFont="1">
      <alignment vertical="center"/>
    </xf>
    <xf numFmtId="49" fontId="0" fillId="7" borderId="6" xfId="0" applyNumberFormat="1" applyFill="1" applyBorder="1" applyAlignment="1">
      <alignment vertical="center" shrinkToFit="1"/>
    </xf>
    <xf numFmtId="49" fontId="0" fillId="5" borderId="1" xfId="0" applyNumberFormat="1" applyFill="1" applyBorder="1">
      <alignment vertical="center"/>
    </xf>
    <xf numFmtId="49" fontId="0" fillId="5" borderId="2" xfId="0" applyNumberFormat="1" applyFill="1" applyBorder="1">
      <alignment vertical="center"/>
    </xf>
    <xf numFmtId="49" fontId="0" fillId="0" borderId="6" xfId="0" applyNumberFormat="1" applyBorder="1" applyAlignment="1">
      <alignment vertical="center" shrinkToFit="1"/>
    </xf>
    <xf numFmtId="0" fontId="0" fillId="8" borderId="0" xfId="0" applyFill="1" applyAlignment="1">
      <alignment vertical="center" shrinkToFit="1"/>
    </xf>
    <xf numFmtId="0" fontId="0" fillId="9" borderId="0" xfId="0" applyFill="1" applyAlignment="1">
      <alignment vertical="center" shrinkToFit="1"/>
    </xf>
    <xf numFmtId="0" fontId="0" fillId="9" borderId="0" xfId="0" applyFill="1">
      <alignment vertical="center"/>
    </xf>
    <xf numFmtId="49" fontId="0" fillId="5" borderId="0" xfId="0" applyNumberFormat="1" applyFill="1">
      <alignment vertical="center"/>
    </xf>
    <xf numFmtId="49" fontId="8" fillId="0" borderId="0" xfId="0" applyNumberFormat="1" applyFont="1">
      <alignment vertical="center"/>
    </xf>
    <xf numFmtId="49" fontId="7" fillId="11" borderId="0" xfId="0" applyNumberFormat="1" applyFont="1" applyFill="1">
      <alignment vertical="center"/>
    </xf>
    <xf numFmtId="49" fontId="7" fillId="12" borderId="0" xfId="0" applyNumberFormat="1" applyFont="1" applyFill="1">
      <alignment vertical="center"/>
    </xf>
    <xf numFmtId="49" fontId="7" fillId="13" borderId="0" xfId="0" applyNumberFormat="1" applyFont="1" applyFill="1">
      <alignment vertical="center"/>
    </xf>
    <xf numFmtId="49" fontId="7" fillId="14" borderId="0" xfId="0" applyNumberFormat="1" applyFont="1" applyFill="1">
      <alignment vertical="center"/>
    </xf>
    <xf numFmtId="49" fontId="7" fillId="15" borderId="0" xfId="0" applyNumberFormat="1" applyFont="1" applyFill="1">
      <alignment vertical="center"/>
    </xf>
    <xf numFmtId="49" fontId="7" fillId="16" borderId="0" xfId="0" applyNumberFormat="1" applyFont="1" applyFill="1">
      <alignment vertical="center"/>
    </xf>
    <xf numFmtId="49" fontId="7" fillId="17" borderId="0" xfId="0" applyNumberFormat="1" applyFont="1" applyFill="1">
      <alignment vertical="center"/>
    </xf>
    <xf numFmtId="49" fontId="7" fillId="18" borderId="0" xfId="0" applyNumberFormat="1" applyFont="1" applyFill="1">
      <alignment vertical="center"/>
    </xf>
    <xf numFmtId="49" fontId="7" fillId="19" borderId="0" xfId="0" applyNumberFormat="1" applyFont="1" applyFill="1">
      <alignment vertical="center"/>
    </xf>
    <xf numFmtId="49" fontId="7" fillId="20" borderId="0" xfId="0" applyNumberFormat="1" applyFont="1" applyFill="1">
      <alignment vertical="center"/>
    </xf>
    <xf numFmtId="49" fontId="7" fillId="21" borderId="0" xfId="0" applyNumberFormat="1" applyFont="1" applyFill="1">
      <alignment vertical="center"/>
    </xf>
    <xf numFmtId="49" fontId="7" fillId="22" borderId="0" xfId="0" applyNumberFormat="1" applyFont="1" applyFill="1">
      <alignment vertical="center"/>
    </xf>
    <xf numFmtId="49" fontId="7" fillId="23" borderId="0" xfId="0" applyNumberFormat="1" applyFont="1" applyFill="1">
      <alignment vertical="center"/>
    </xf>
    <xf numFmtId="49" fontId="7" fillId="24" borderId="0" xfId="0" applyNumberFormat="1" applyFont="1" applyFill="1">
      <alignment vertical="center"/>
    </xf>
    <xf numFmtId="49" fontId="7" fillId="25" borderId="0" xfId="0" applyNumberFormat="1" applyFont="1" applyFill="1">
      <alignment vertical="center"/>
    </xf>
    <xf numFmtId="49" fontId="7" fillId="26" borderId="0" xfId="0" applyNumberFormat="1" applyFont="1" applyFill="1">
      <alignment vertical="center"/>
    </xf>
    <xf numFmtId="49" fontId="7" fillId="27" borderId="0" xfId="0" applyNumberFormat="1" applyFont="1" applyFill="1">
      <alignment vertical="center"/>
    </xf>
    <xf numFmtId="49" fontId="7" fillId="28" borderId="0" xfId="0" applyNumberFormat="1" applyFont="1" applyFill="1">
      <alignment vertical="center"/>
    </xf>
    <xf numFmtId="49" fontId="7" fillId="29" borderId="0" xfId="0" applyNumberFormat="1" applyFont="1" applyFill="1">
      <alignment vertical="center"/>
    </xf>
    <xf numFmtId="49" fontId="7" fillId="30" borderId="0" xfId="0" applyNumberFormat="1" applyFont="1" applyFill="1">
      <alignment vertical="center"/>
    </xf>
    <xf numFmtId="49" fontId="7" fillId="31" borderId="0" xfId="0" applyNumberFormat="1" applyFont="1" applyFill="1">
      <alignment vertical="center"/>
    </xf>
    <xf numFmtId="49" fontId="7" fillId="32" borderId="0" xfId="0" applyNumberFormat="1" applyFont="1" applyFill="1">
      <alignment vertical="center"/>
    </xf>
    <xf numFmtId="49" fontId="7" fillId="33" borderId="0" xfId="0" applyNumberFormat="1" applyFont="1" applyFill="1">
      <alignment vertical="center"/>
    </xf>
    <xf numFmtId="49" fontId="7" fillId="34" borderId="0" xfId="0" applyNumberFormat="1" applyFont="1" applyFill="1">
      <alignment vertical="center"/>
    </xf>
    <xf numFmtId="49" fontId="7" fillId="35" borderId="0" xfId="0" applyNumberFormat="1" applyFont="1" applyFill="1">
      <alignment vertical="center"/>
    </xf>
    <xf numFmtId="49" fontId="7" fillId="36" borderId="0" xfId="0" applyNumberFormat="1" applyFont="1" applyFill="1">
      <alignment vertical="center"/>
    </xf>
    <xf numFmtId="49" fontId="7" fillId="37" borderId="0" xfId="0" applyNumberFormat="1" applyFont="1" applyFill="1">
      <alignment vertical="center"/>
    </xf>
    <xf numFmtId="49" fontId="7" fillId="38" borderId="0" xfId="0" applyNumberFormat="1" applyFont="1" applyFill="1">
      <alignment vertical="center"/>
    </xf>
    <xf numFmtId="49" fontId="7" fillId="39" borderId="0" xfId="0" applyNumberFormat="1" applyFont="1" applyFill="1">
      <alignment vertical="center"/>
    </xf>
    <xf numFmtId="49" fontId="7" fillId="40" borderId="0" xfId="0" applyNumberFormat="1" applyFont="1" applyFill="1">
      <alignment vertical="center"/>
    </xf>
    <xf numFmtId="49" fontId="8" fillId="9" borderId="7" xfId="0" applyNumberFormat="1" applyFont="1" applyFill="1" applyBorder="1">
      <alignment vertical="center"/>
    </xf>
    <xf numFmtId="49" fontId="8" fillId="0" borderId="0" xfId="0" applyNumberFormat="1" applyFont="1" applyAlignment="1">
      <alignment vertical="center" shrinkToFit="1"/>
    </xf>
    <xf numFmtId="49" fontId="8" fillId="9" borderId="11" xfId="0" applyNumberFormat="1" applyFont="1" applyFill="1" applyBorder="1">
      <alignment vertical="center"/>
    </xf>
    <xf numFmtId="49" fontId="8" fillId="0" borderId="11" xfId="0" applyNumberFormat="1" applyFont="1" applyBorder="1">
      <alignment vertical="center"/>
    </xf>
    <xf numFmtId="49" fontId="8" fillId="9" borderId="10" xfId="0" applyNumberFormat="1" applyFont="1" applyFill="1" applyBorder="1">
      <alignment vertical="center"/>
    </xf>
    <xf numFmtId="49" fontId="8" fillId="10" borderId="12" xfId="0" applyNumberFormat="1" applyFont="1" applyFill="1" applyBorder="1" applyAlignment="1">
      <alignment vertical="center" shrinkToFit="1"/>
    </xf>
    <xf numFmtId="49" fontId="8" fillId="9" borderId="17" xfId="0" applyNumberFormat="1" applyFont="1" applyFill="1" applyBorder="1">
      <alignment vertical="center"/>
    </xf>
    <xf numFmtId="49" fontId="8" fillId="9" borderId="13" xfId="0" applyNumberFormat="1" applyFont="1" applyFill="1" applyBorder="1">
      <alignment vertical="center"/>
    </xf>
    <xf numFmtId="49" fontId="8" fillId="0" borderId="13" xfId="0" applyNumberFormat="1" applyFont="1" applyBorder="1">
      <alignment vertical="center"/>
    </xf>
    <xf numFmtId="49" fontId="8" fillId="3" borderId="13" xfId="0" applyNumberFormat="1" applyFont="1" applyFill="1" applyBorder="1">
      <alignment vertical="center"/>
    </xf>
    <xf numFmtId="0" fontId="7" fillId="0" borderId="13" xfId="0" applyFont="1" applyBorder="1" applyAlignment="1">
      <alignment vertical="center" shrinkToFit="1"/>
    </xf>
    <xf numFmtId="49" fontId="9" fillId="0" borderId="0" xfId="0" applyNumberFormat="1" applyFont="1" applyAlignment="1">
      <alignment vertical="center" wrapText="1"/>
    </xf>
    <xf numFmtId="49" fontId="9" fillId="5" borderId="0" xfId="0" applyNumberFormat="1" applyFont="1" applyFill="1">
      <alignment vertical="center"/>
    </xf>
    <xf numFmtId="49" fontId="9" fillId="0" borderId="0" xfId="0" applyNumberFormat="1" applyFont="1" applyAlignment="1">
      <alignment vertical="center" shrinkToFit="1"/>
    </xf>
    <xf numFmtId="49" fontId="9" fillId="0" borderId="0" xfId="0" applyNumberFormat="1" applyFont="1">
      <alignment vertical="center"/>
    </xf>
    <xf numFmtId="49" fontId="9" fillId="5" borderId="0" xfId="0" applyNumberFormat="1" applyFont="1" applyFill="1" applyAlignment="1">
      <alignment vertical="center" shrinkToFit="1"/>
    </xf>
    <xf numFmtId="49" fontId="10" fillId="5" borderId="0" xfId="0" applyNumberFormat="1" applyFont="1" applyFill="1">
      <alignment vertical="center"/>
    </xf>
    <xf numFmtId="49" fontId="10" fillId="0" borderId="0" xfId="0" applyNumberFormat="1" applyFont="1" applyAlignment="1">
      <alignment vertical="top" wrapText="1"/>
    </xf>
    <xf numFmtId="49" fontId="10" fillId="0" borderId="0" xfId="0" applyNumberFormat="1" applyFont="1" applyAlignment="1">
      <alignment vertical="top" wrapText="1" shrinkToFit="1"/>
    </xf>
    <xf numFmtId="49" fontId="10" fillId="0" borderId="0" xfId="0" applyNumberFormat="1" applyFont="1">
      <alignment vertical="center"/>
    </xf>
    <xf numFmtId="49" fontId="8" fillId="30" borderId="21" xfId="0" applyNumberFormat="1" applyFont="1" applyFill="1" applyBorder="1">
      <alignment vertical="center"/>
    </xf>
    <xf numFmtId="49" fontId="8" fillId="9" borderId="18" xfId="0" applyNumberFormat="1" applyFont="1" applyFill="1" applyBorder="1">
      <alignment vertical="center"/>
    </xf>
    <xf numFmtId="0" fontId="8" fillId="12" borderId="14" xfId="0" applyFont="1" applyFill="1" applyBorder="1">
      <alignment vertical="center"/>
    </xf>
    <xf numFmtId="0" fontId="0" fillId="30" borderId="22" xfId="0" applyFill="1" applyBorder="1">
      <alignment vertical="center"/>
    </xf>
    <xf numFmtId="49" fontId="9" fillId="41" borderId="0" xfId="0" applyNumberFormat="1" applyFont="1" applyFill="1">
      <alignment vertical="center"/>
    </xf>
    <xf numFmtId="49" fontId="9" fillId="0" borderId="0" xfId="0" applyNumberFormat="1" applyFont="1" applyAlignment="1">
      <alignment vertical="top" shrinkToFit="1"/>
    </xf>
    <xf numFmtId="49" fontId="9" fillId="0" borderId="0" xfId="0" applyNumberFormat="1" applyFont="1" applyAlignment="1">
      <alignment vertical="top" wrapText="1"/>
    </xf>
    <xf numFmtId="49" fontId="9" fillId="0" borderId="0" xfId="0" applyNumberFormat="1" applyFont="1" applyAlignment="1">
      <alignment vertical="top"/>
    </xf>
    <xf numFmtId="49" fontId="10" fillId="0" borderId="0" xfId="0" applyNumberFormat="1" applyFont="1" applyAlignment="1">
      <alignment vertical="top" shrinkToFit="1"/>
    </xf>
    <xf numFmtId="0" fontId="10" fillId="0" borderId="0" xfId="0" applyFont="1" applyAlignment="1">
      <alignment vertical="top" wrapText="1"/>
    </xf>
    <xf numFmtId="49" fontId="9" fillId="34" borderId="0" xfId="0" applyNumberFormat="1" applyFont="1" applyFill="1">
      <alignment vertical="center"/>
    </xf>
    <xf numFmtId="0" fontId="8" fillId="12" borderId="15" xfId="0" applyFont="1" applyFill="1" applyBorder="1">
      <alignment vertical="center"/>
    </xf>
    <xf numFmtId="0" fontId="8" fillId="12" borderId="16" xfId="0" applyFont="1" applyFill="1" applyBorder="1">
      <alignment vertical="center"/>
    </xf>
    <xf numFmtId="49" fontId="9" fillId="9" borderId="19" xfId="0" applyNumberFormat="1" applyFont="1" applyFill="1" applyBorder="1">
      <alignment vertical="center"/>
    </xf>
    <xf numFmtId="49" fontId="9" fillId="3" borderId="20" xfId="0" applyNumberFormat="1" applyFont="1" applyFill="1" applyBorder="1" applyAlignment="1">
      <alignment vertical="center" shrinkToFit="1"/>
    </xf>
    <xf numFmtId="49" fontId="9" fillId="9" borderId="20" xfId="0" applyNumberFormat="1" applyFont="1" applyFill="1" applyBorder="1">
      <alignment vertical="center"/>
    </xf>
    <xf numFmtId="49" fontId="9" fillId="3" borderId="20" xfId="0" applyNumberFormat="1" applyFont="1" applyFill="1" applyBorder="1">
      <alignment vertical="center"/>
    </xf>
    <xf numFmtId="49" fontId="9" fillId="2" borderId="0" xfId="0" applyNumberFormat="1" applyFont="1" applyFill="1">
      <alignment vertical="center"/>
    </xf>
    <xf numFmtId="0" fontId="12" fillId="0" borderId="0" xfId="0" applyFont="1">
      <alignment vertical="center"/>
    </xf>
    <xf numFmtId="49" fontId="9" fillId="14" borderId="0" xfId="0" applyNumberFormat="1" applyFont="1" applyFill="1">
      <alignment vertical="center"/>
    </xf>
    <xf numFmtId="49" fontId="11" fillId="0" borderId="0" xfId="0" applyNumberFormat="1" applyFont="1">
      <alignment vertical="center"/>
    </xf>
    <xf numFmtId="49" fontId="9" fillId="8" borderId="0" xfId="0" applyNumberFormat="1" applyFont="1" applyFill="1">
      <alignment vertical="center"/>
    </xf>
    <xf numFmtId="49" fontId="8" fillId="2" borderId="23" xfId="0" applyNumberFormat="1" applyFont="1" applyFill="1" applyBorder="1">
      <alignment vertical="center"/>
    </xf>
    <xf numFmtId="49" fontId="8" fillId="30" borderId="24" xfId="0" applyNumberFormat="1" applyFont="1" applyFill="1" applyBorder="1">
      <alignment vertical="center"/>
    </xf>
    <xf numFmtId="0" fontId="0" fillId="30" borderId="25" xfId="0" applyFill="1" applyBorder="1">
      <alignment vertical="center"/>
    </xf>
    <xf numFmtId="0" fontId="0" fillId="14" borderId="25" xfId="0" applyFill="1" applyBorder="1">
      <alignment vertical="center"/>
    </xf>
    <xf numFmtId="0" fontId="0" fillId="14" borderId="22" xfId="0" applyFill="1" applyBorder="1">
      <alignment vertical="center"/>
    </xf>
    <xf numFmtId="49" fontId="13" fillId="0" borderId="0" xfId="0" applyNumberFormat="1" applyFont="1">
      <alignment vertical="center"/>
    </xf>
    <xf numFmtId="49" fontId="9" fillId="30" borderId="25" xfId="0" applyNumberFormat="1" applyFont="1" applyFill="1" applyBorder="1">
      <alignment vertical="center"/>
    </xf>
    <xf numFmtId="49" fontId="9" fillId="12" borderId="25" xfId="0" applyNumberFormat="1" applyFont="1" applyFill="1" applyBorder="1">
      <alignment vertical="center"/>
    </xf>
    <xf numFmtId="49" fontId="9" fillId="34" borderId="0" xfId="0" applyNumberFormat="1" applyFont="1" applyFill="1" applyAlignment="1">
      <alignment vertical="center"/>
    </xf>
  </cellXfs>
  <cellStyles count="2">
    <cellStyle name="標準" xfId="0" builtinId="0"/>
    <cellStyle name="標準 2" xfId="1" xr:uid="{1F6A8F65-E7E1-4120-B77D-1B04CD1A88C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1</xdr:row>
          <xdr:rowOff>22860</xdr:rowOff>
        </xdr:from>
        <xdr:to>
          <xdr:col>1</xdr:col>
          <xdr:colOff>2804160</xdr:colOff>
          <xdr:row>2</xdr:row>
          <xdr:rowOff>137160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22860</xdr:rowOff>
        </xdr:from>
        <xdr:to>
          <xdr:col>4</xdr:col>
          <xdr:colOff>22860</xdr:colOff>
          <xdr:row>2</xdr:row>
          <xdr:rowOff>144780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SQL作成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</xdr:row>
          <xdr:rowOff>7620</xdr:rowOff>
        </xdr:from>
        <xdr:to>
          <xdr:col>8</xdr:col>
          <xdr:colOff>944880</xdr:colOff>
          <xdr:row>1</xdr:row>
          <xdr:rowOff>312420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</xdr:row>
          <xdr:rowOff>22860</xdr:rowOff>
        </xdr:from>
        <xdr:to>
          <xdr:col>9</xdr:col>
          <xdr:colOff>937260</xdr:colOff>
          <xdr:row>1</xdr:row>
          <xdr:rowOff>327660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22860</xdr:rowOff>
        </xdr:from>
        <xdr:to>
          <xdr:col>11</xdr:col>
          <xdr:colOff>7620</xdr:colOff>
          <xdr:row>1</xdr:row>
          <xdr:rowOff>327660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5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バックアップ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9CC6E-FCBE-4B64-B207-3A6DB767CDAA}">
  <sheetPr codeName="Sheet10"/>
  <dimension ref="A1:F33"/>
  <sheetViews>
    <sheetView tabSelected="1" zoomScale="85" zoomScaleNormal="85" workbookViewId="0">
      <selection activeCell="D21" sqref="D21"/>
    </sheetView>
  </sheetViews>
  <sheetFormatPr defaultColWidth="8.69921875" defaultRowHeight="18" x14ac:dyDescent="0.45"/>
  <cols>
    <col min="1" max="1" width="11" style="23" bestFit="1" customWidth="1"/>
    <col min="2" max="2" width="9"/>
    <col min="3" max="3" width="15.19921875" style="76" customWidth="1"/>
    <col min="4" max="4" width="64.3984375" style="82" customWidth="1"/>
    <col min="5" max="5" width="12.19921875" style="77" bestFit="1" customWidth="1"/>
    <col min="6" max="6" width="10.5" style="77" customWidth="1"/>
    <col min="7" max="16384" width="8.69921875" style="23"/>
  </cols>
  <sheetData>
    <row r="1" spans="1:6" x14ac:dyDescent="0.45">
      <c r="A1" s="23" t="s">
        <v>103</v>
      </c>
      <c r="C1" s="78" t="s">
        <v>118</v>
      </c>
      <c r="D1" s="79" t="s">
        <v>62</v>
      </c>
      <c r="E1" s="75" t="s">
        <v>119</v>
      </c>
      <c r="F1" s="75" t="s">
        <v>123</v>
      </c>
    </row>
    <row r="2" spans="1:6" ht="28.2" customHeight="1" x14ac:dyDescent="0.45">
      <c r="A2" s="33" t="s">
        <v>78</v>
      </c>
      <c r="C2" s="88" t="s">
        <v>108</v>
      </c>
      <c r="D2" s="81" t="s">
        <v>130</v>
      </c>
      <c r="E2" s="89" t="s">
        <v>131</v>
      </c>
      <c r="F2" s="90"/>
    </row>
    <row r="3" spans="1:6" x14ac:dyDescent="0.45">
      <c r="A3" s="34" t="s">
        <v>79</v>
      </c>
      <c r="C3" s="88" t="s">
        <v>117</v>
      </c>
      <c r="D3" s="91" t="s">
        <v>69</v>
      </c>
      <c r="E3" s="90"/>
      <c r="F3" s="90" t="s">
        <v>124</v>
      </c>
    </row>
    <row r="4" spans="1:6" ht="46.5" customHeight="1" x14ac:dyDescent="0.45">
      <c r="A4" s="35" t="s">
        <v>80</v>
      </c>
      <c r="C4" s="88" t="s">
        <v>111</v>
      </c>
      <c r="D4" s="80" t="s">
        <v>132</v>
      </c>
      <c r="E4" s="89" t="s">
        <v>133</v>
      </c>
      <c r="F4" s="90" t="s">
        <v>124</v>
      </c>
    </row>
    <row r="5" spans="1:6" ht="72.75" customHeight="1" x14ac:dyDescent="0.45">
      <c r="A5" s="36" t="s">
        <v>81</v>
      </c>
      <c r="C5" s="88" t="s">
        <v>116</v>
      </c>
      <c r="D5" s="81" t="s">
        <v>129</v>
      </c>
      <c r="E5" s="89" t="s">
        <v>128</v>
      </c>
      <c r="F5" s="90" t="s">
        <v>124</v>
      </c>
    </row>
    <row r="6" spans="1:6" x14ac:dyDescent="0.45">
      <c r="A6" s="37" t="s">
        <v>82</v>
      </c>
      <c r="C6" s="88" t="s">
        <v>115</v>
      </c>
      <c r="D6" s="91" t="s">
        <v>100</v>
      </c>
      <c r="E6" s="90" t="s">
        <v>120</v>
      </c>
      <c r="F6" s="90" t="s">
        <v>125</v>
      </c>
    </row>
    <row r="7" spans="1:6" ht="25.2" x14ac:dyDescent="0.45">
      <c r="A7" s="38" t="s">
        <v>83</v>
      </c>
      <c r="C7" s="88" t="s">
        <v>113</v>
      </c>
      <c r="D7" s="91" t="s">
        <v>104</v>
      </c>
      <c r="E7" s="89" t="s">
        <v>121</v>
      </c>
      <c r="F7" s="90" t="s">
        <v>126</v>
      </c>
    </row>
    <row r="8" spans="1:6" ht="37.799999999999997" x14ac:dyDescent="0.45">
      <c r="A8" s="39" t="s">
        <v>84</v>
      </c>
      <c r="C8" s="88" t="s">
        <v>114</v>
      </c>
      <c r="D8" s="91" t="s">
        <v>101</v>
      </c>
      <c r="E8" s="89" t="s">
        <v>122</v>
      </c>
      <c r="F8" s="90" t="s">
        <v>126</v>
      </c>
    </row>
    <row r="9" spans="1:6" ht="60" customHeight="1" x14ac:dyDescent="0.45">
      <c r="A9" s="40" t="s">
        <v>85</v>
      </c>
      <c r="C9" s="88" t="s">
        <v>112</v>
      </c>
      <c r="D9" s="92" t="s">
        <v>110</v>
      </c>
      <c r="E9" s="89" t="s">
        <v>127</v>
      </c>
      <c r="F9" s="90" t="s">
        <v>125</v>
      </c>
    </row>
    <row r="10" spans="1:6" x14ac:dyDescent="0.45">
      <c r="A10" s="41" t="s">
        <v>86</v>
      </c>
    </row>
    <row r="11" spans="1:6" x14ac:dyDescent="0.45">
      <c r="A11" s="42" t="s">
        <v>87</v>
      </c>
    </row>
    <row r="12" spans="1:6" x14ac:dyDescent="0.45">
      <c r="A12" s="43" t="s">
        <v>88</v>
      </c>
    </row>
    <row r="13" spans="1:6" x14ac:dyDescent="0.45">
      <c r="A13" s="44" t="s">
        <v>89</v>
      </c>
    </row>
    <row r="14" spans="1:6" x14ac:dyDescent="0.45">
      <c r="A14" s="45" t="s">
        <v>90</v>
      </c>
    </row>
    <row r="15" spans="1:6" x14ac:dyDescent="0.45">
      <c r="A15" s="46" t="s">
        <v>91</v>
      </c>
    </row>
    <row r="16" spans="1:6" x14ac:dyDescent="0.45">
      <c r="A16" s="47" t="s">
        <v>92</v>
      </c>
    </row>
    <row r="17" spans="1:2" x14ac:dyDescent="0.45">
      <c r="A17" s="48" t="s">
        <v>93</v>
      </c>
    </row>
    <row r="18" spans="1:2" ht="15" x14ac:dyDescent="0.45">
      <c r="A18" s="49" t="s">
        <v>94</v>
      </c>
      <c r="B18" s="76"/>
    </row>
    <row r="19" spans="1:2" ht="15" x14ac:dyDescent="0.45">
      <c r="A19" s="50" t="s">
        <v>95</v>
      </c>
      <c r="B19" s="76"/>
    </row>
    <row r="20" spans="1:2" ht="15" x14ac:dyDescent="0.45">
      <c r="A20" s="51" t="s">
        <v>96</v>
      </c>
      <c r="B20" s="76"/>
    </row>
    <row r="21" spans="1:2" ht="15" x14ac:dyDescent="0.45">
      <c r="A21" s="52" t="s">
        <v>97</v>
      </c>
      <c r="B21" s="76"/>
    </row>
    <row r="22" spans="1:2" ht="15" x14ac:dyDescent="0.45">
      <c r="A22" s="53" t="s">
        <v>157</v>
      </c>
      <c r="B22" s="76"/>
    </row>
    <row r="23" spans="1:2" ht="15" x14ac:dyDescent="0.45">
      <c r="A23" s="54" t="s">
        <v>158</v>
      </c>
      <c r="B23" s="76"/>
    </row>
    <row r="24" spans="1:2" ht="15" x14ac:dyDescent="0.45">
      <c r="A24" s="55" t="s">
        <v>159</v>
      </c>
      <c r="B24" s="76"/>
    </row>
    <row r="25" spans="1:2" ht="15" x14ac:dyDescent="0.45">
      <c r="A25" s="56" t="s">
        <v>160</v>
      </c>
      <c r="B25" s="76"/>
    </row>
    <row r="26" spans="1:2" ht="15" x14ac:dyDescent="0.45">
      <c r="A26" s="57" t="s">
        <v>161</v>
      </c>
      <c r="B26" s="76"/>
    </row>
    <row r="27" spans="1:2" ht="15" x14ac:dyDescent="0.45">
      <c r="A27" s="58" t="s">
        <v>162</v>
      </c>
      <c r="B27" s="76"/>
    </row>
    <row r="28" spans="1:2" ht="15" x14ac:dyDescent="0.45">
      <c r="A28" s="59" t="s">
        <v>163</v>
      </c>
      <c r="B28" s="76"/>
    </row>
    <row r="29" spans="1:2" ht="15" x14ac:dyDescent="0.45">
      <c r="A29" s="60" t="s">
        <v>164</v>
      </c>
      <c r="B29" s="76"/>
    </row>
    <row r="30" spans="1:2" ht="15" x14ac:dyDescent="0.45">
      <c r="A30" s="61" t="s">
        <v>165</v>
      </c>
      <c r="B30" s="76"/>
    </row>
    <row r="31" spans="1:2" ht="15" x14ac:dyDescent="0.45">
      <c r="A31" s="62" t="s">
        <v>166</v>
      </c>
      <c r="B31" s="76"/>
    </row>
    <row r="32" spans="1:2" ht="15" x14ac:dyDescent="0.45">
      <c r="B32" s="76"/>
    </row>
    <row r="33" spans="2:2" ht="15" x14ac:dyDescent="0.45">
      <c r="B33" s="76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5E524-AD84-47F2-B703-CA6943D6C667}">
  <sheetPr codeName="Sheet1"/>
  <dimension ref="A1:J20"/>
  <sheetViews>
    <sheetView zoomScaleNormal="100" workbookViewId="0">
      <selection activeCell="D20" sqref="D20"/>
    </sheetView>
  </sheetViews>
  <sheetFormatPr defaultColWidth="8.69921875" defaultRowHeight="18" x14ac:dyDescent="0.45"/>
  <cols>
    <col min="1" max="1" width="5.3984375" style="7" bestFit="1" customWidth="1"/>
    <col min="2" max="2" width="5.69921875" style="7" bestFit="1" customWidth="1"/>
    <col min="3" max="3" width="6" style="7" bestFit="1" customWidth="1"/>
    <col min="4" max="4" width="51.59765625" style="7" customWidth="1"/>
    <col min="5" max="6" width="6.69921875" style="7" bestFit="1" customWidth="1"/>
    <col min="7" max="7" width="8" style="7" bestFit="1" customWidth="1"/>
    <col min="8" max="8" width="8" style="7" customWidth="1"/>
    <col min="9" max="9" width="8.8984375" style="7" bestFit="1" customWidth="1"/>
    <col min="10" max="10" width="8.19921875" style="7" bestFit="1" customWidth="1"/>
    <col min="11" max="16384" width="8.69921875" style="7"/>
  </cols>
  <sheetData>
    <row r="1" spans="1:10" ht="18.600000000000001" thickBot="1" x14ac:dyDescent="0.5"/>
    <row r="2" spans="1:10" ht="18.600000000000001" hidden="1" thickBot="1" x14ac:dyDescent="0.5"/>
    <row r="3" spans="1:10" ht="18.600000000000001" hidden="1" thickBot="1" x14ac:dyDescent="0.5"/>
    <row r="4" spans="1:10" ht="18.600000000000001" hidden="1" thickBot="1" x14ac:dyDescent="0.5"/>
    <row r="5" spans="1:10" x14ac:dyDescent="0.45">
      <c r="A5" s="8" t="s">
        <v>4</v>
      </c>
      <c r="B5" s="9"/>
      <c r="C5" s="9"/>
      <c r="D5" s="9"/>
      <c r="E5" s="10" t="s">
        <v>52</v>
      </c>
      <c r="F5" s="10" t="s">
        <v>52</v>
      </c>
      <c r="G5" s="10" t="s">
        <v>5</v>
      </c>
      <c r="H5" s="10" t="s">
        <v>53</v>
      </c>
      <c r="I5" s="11" t="s">
        <v>41</v>
      </c>
      <c r="J5" s="12" t="s">
        <v>42</v>
      </c>
    </row>
    <row r="6" spans="1:10" ht="41.4" customHeight="1" x14ac:dyDescent="0.45">
      <c r="A6" s="25" t="s">
        <v>3</v>
      </c>
      <c r="B6" s="25" t="s">
        <v>1</v>
      </c>
      <c r="C6" s="25" t="s">
        <v>2</v>
      </c>
      <c r="D6" s="26" t="s">
        <v>0</v>
      </c>
      <c r="E6" s="24" t="s">
        <v>61</v>
      </c>
      <c r="F6" s="13" t="s">
        <v>55</v>
      </c>
      <c r="G6" s="13" t="s">
        <v>44</v>
      </c>
      <c r="H6" s="13" t="s">
        <v>54</v>
      </c>
      <c r="I6" s="14" t="s">
        <v>45</v>
      </c>
      <c r="J6" s="15" t="s">
        <v>46</v>
      </c>
    </row>
    <row r="7" spans="1:10" x14ac:dyDescent="0.45">
      <c r="A7" s="16" t="s">
        <v>43</v>
      </c>
      <c r="B7" s="16">
        <v>1</v>
      </c>
      <c r="C7" s="16">
        <v>1</v>
      </c>
      <c r="D7" s="17"/>
      <c r="E7" s="27" t="s">
        <v>63</v>
      </c>
      <c r="F7" s="27" t="s">
        <v>63</v>
      </c>
      <c r="G7" s="18" t="s">
        <v>5</v>
      </c>
      <c r="H7" s="18"/>
      <c r="I7" s="19" t="s">
        <v>48</v>
      </c>
      <c r="J7" s="20" t="s">
        <v>47</v>
      </c>
    </row>
    <row r="8" spans="1:10" x14ac:dyDescent="0.45">
      <c r="A8" s="16"/>
      <c r="B8" s="16"/>
      <c r="C8" s="16">
        <v>2</v>
      </c>
      <c r="D8" s="17"/>
      <c r="E8" s="19"/>
      <c r="F8" s="19"/>
      <c r="G8" s="19"/>
      <c r="H8" s="19"/>
      <c r="I8" s="19"/>
      <c r="J8" s="20"/>
    </row>
    <row r="9" spans="1:10" x14ac:dyDescent="0.45">
      <c r="A9" s="16"/>
      <c r="B9" s="16"/>
      <c r="C9" s="16">
        <v>3</v>
      </c>
      <c r="D9" s="17"/>
      <c r="E9" s="19"/>
      <c r="F9" s="19"/>
      <c r="G9" s="19"/>
      <c r="H9" s="19"/>
      <c r="I9" s="19"/>
      <c r="J9" s="20"/>
    </row>
    <row r="10" spans="1:10" x14ac:dyDescent="0.45">
      <c r="A10" s="16"/>
      <c r="B10" s="16"/>
      <c r="C10" s="16">
        <v>4</v>
      </c>
      <c r="D10" s="17"/>
      <c r="E10" s="19"/>
      <c r="F10" s="19"/>
      <c r="G10" s="19"/>
      <c r="H10" s="19"/>
      <c r="I10" s="19"/>
      <c r="J10" s="20"/>
    </row>
    <row r="11" spans="1:10" x14ac:dyDescent="0.45">
      <c r="A11" s="16"/>
      <c r="B11" s="16"/>
      <c r="C11" s="16">
        <v>5</v>
      </c>
      <c r="D11" s="17"/>
      <c r="E11" s="19"/>
      <c r="F11" s="19"/>
      <c r="G11" s="19"/>
      <c r="H11" s="19"/>
      <c r="I11" s="19"/>
      <c r="J11" s="20"/>
    </row>
    <row r="12" spans="1:10" x14ac:dyDescent="0.45">
      <c r="A12" s="16"/>
      <c r="B12" s="16"/>
      <c r="C12" s="16">
        <v>6</v>
      </c>
      <c r="D12" s="17"/>
      <c r="E12" s="19"/>
      <c r="F12" s="19"/>
      <c r="G12" s="19"/>
      <c r="H12" s="19"/>
      <c r="I12" s="19"/>
      <c r="J12" s="20"/>
    </row>
    <row r="13" spans="1:10" x14ac:dyDescent="0.45">
      <c r="A13" s="16"/>
      <c r="B13" s="16"/>
      <c r="C13" s="16">
        <v>7</v>
      </c>
      <c r="D13" s="17"/>
      <c r="E13" s="19"/>
      <c r="F13" s="19"/>
      <c r="G13" s="19"/>
      <c r="H13" s="19"/>
      <c r="I13" s="19"/>
      <c r="J13" s="20"/>
    </row>
    <row r="14" spans="1:10" x14ac:dyDescent="0.45">
      <c r="A14" s="16"/>
      <c r="B14" s="16"/>
      <c r="C14" s="16">
        <v>8</v>
      </c>
      <c r="D14" s="17"/>
      <c r="E14" s="19"/>
      <c r="F14" s="19"/>
      <c r="G14" s="19"/>
      <c r="H14" s="19"/>
      <c r="I14" s="19"/>
      <c r="J14" s="20"/>
    </row>
    <row r="15" spans="1:10" x14ac:dyDescent="0.45">
      <c r="A15" s="16"/>
      <c r="B15" s="16"/>
      <c r="C15" s="16">
        <v>9</v>
      </c>
      <c r="D15" s="17"/>
      <c r="E15" s="19"/>
      <c r="F15" s="19"/>
      <c r="G15" s="19"/>
      <c r="H15" s="19"/>
      <c r="I15" s="19"/>
      <c r="J15" s="20"/>
    </row>
    <row r="16" spans="1:10" x14ac:dyDescent="0.45">
      <c r="A16" s="16"/>
      <c r="B16" s="16"/>
      <c r="C16" s="16">
        <v>10</v>
      </c>
      <c r="D16" s="17"/>
      <c r="E16" s="19"/>
      <c r="F16" s="19"/>
      <c r="G16" s="19"/>
      <c r="H16" s="19"/>
      <c r="I16" s="19"/>
      <c r="J16" s="20"/>
    </row>
    <row r="17" spans="1:10" x14ac:dyDescent="0.45">
      <c r="A17" s="16"/>
      <c r="B17" s="16"/>
      <c r="C17" s="16">
        <v>11</v>
      </c>
      <c r="D17" s="17"/>
      <c r="E17" s="19"/>
      <c r="F17" s="19"/>
      <c r="G17" s="19"/>
      <c r="H17" s="19"/>
      <c r="I17" s="19"/>
      <c r="J17" s="20"/>
    </row>
    <row r="18" spans="1:10" x14ac:dyDescent="0.45">
      <c r="A18" s="16"/>
      <c r="B18" s="16"/>
      <c r="C18" s="16">
        <v>12</v>
      </c>
      <c r="D18" s="17"/>
      <c r="E18" s="19"/>
      <c r="F18" s="19"/>
      <c r="G18" s="19"/>
      <c r="H18" s="19"/>
      <c r="I18" s="19"/>
      <c r="J18" s="20"/>
    </row>
    <row r="19" spans="1:10" x14ac:dyDescent="0.45">
      <c r="A19" s="16"/>
      <c r="B19" s="16"/>
      <c r="C19" s="16"/>
      <c r="D19" s="17"/>
      <c r="E19" s="19"/>
      <c r="F19" s="19"/>
      <c r="G19" s="19"/>
      <c r="H19" s="19"/>
      <c r="I19" s="19"/>
      <c r="J19" s="20"/>
    </row>
    <row r="20" spans="1:10" ht="18.600000000000001" thickBot="1" x14ac:dyDescent="0.5">
      <c r="A20" s="16"/>
      <c r="B20" s="16"/>
      <c r="C20" s="16"/>
      <c r="D20" s="17"/>
      <c r="E20" s="21"/>
      <c r="F20" s="21"/>
      <c r="G20" s="21"/>
      <c r="H20" s="21"/>
      <c r="I20" s="21"/>
      <c r="J20" s="22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CF698-708B-4457-B934-73B648681A52}">
  <sheetPr codeName="Sheet2"/>
  <dimension ref="A2:N33"/>
  <sheetViews>
    <sheetView workbookViewId="0">
      <selection activeCell="D20" sqref="D20"/>
    </sheetView>
  </sheetViews>
  <sheetFormatPr defaultRowHeight="18" x14ac:dyDescent="0.45"/>
  <cols>
    <col min="1" max="1" width="7.09765625" bestFit="1" customWidth="1"/>
    <col min="2" max="2" width="5.59765625" customWidth="1"/>
    <col min="3" max="3" width="10.19921875" customWidth="1"/>
    <col min="4" max="4" width="15.5" customWidth="1"/>
    <col min="5" max="6" width="9.5" customWidth="1"/>
    <col min="14" max="14" width="20" bestFit="1" customWidth="1"/>
  </cols>
  <sheetData>
    <row r="2" spans="1:14" x14ac:dyDescent="0.45">
      <c r="A2" t="s">
        <v>67</v>
      </c>
      <c r="D2" s="28" t="s">
        <v>51</v>
      </c>
      <c r="F2" t="s">
        <v>73</v>
      </c>
      <c r="G2" s="30" t="s">
        <v>8</v>
      </c>
      <c r="H2" s="30" t="s">
        <v>9</v>
      </c>
      <c r="I2" s="30" t="s">
        <v>10</v>
      </c>
      <c r="J2" s="30" t="s">
        <v>11</v>
      </c>
      <c r="K2" s="30" t="s">
        <v>12</v>
      </c>
      <c r="L2" s="30" t="s">
        <v>13</v>
      </c>
      <c r="M2" s="30" t="s">
        <v>14</v>
      </c>
      <c r="N2" s="30" t="s">
        <v>15</v>
      </c>
    </row>
    <row r="3" spans="1:14" x14ac:dyDescent="0.45">
      <c r="A3" s="25" t="s">
        <v>3</v>
      </c>
      <c r="B3" s="25" t="s">
        <v>1</v>
      </c>
      <c r="C3" s="25" t="s">
        <v>2</v>
      </c>
      <c r="D3" s="1" t="s">
        <v>49</v>
      </c>
      <c r="F3" s="31" t="s">
        <v>70</v>
      </c>
      <c r="G3" s="4" t="s">
        <v>17</v>
      </c>
      <c r="H3" s="4" t="s">
        <v>28</v>
      </c>
      <c r="I3" s="4" t="s">
        <v>29</v>
      </c>
      <c r="J3" s="4" t="s">
        <v>30</v>
      </c>
      <c r="K3" s="4" t="s">
        <v>31</v>
      </c>
      <c r="L3" s="4" t="s">
        <v>32</v>
      </c>
      <c r="M3" s="4" t="s">
        <v>33</v>
      </c>
      <c r="N3" s="4" t="s">
        <v>34</v>
      </c>
    </row>
    <row r="4" spans="1:14" x14ac:dyDescent="0.45">
      <c r="A4" s="16" t="s">
        <v>43</v>
      </c>
      <c r="B4" s="16">
        <v>1</v>
      </c>
      <c r="C4" s="16">
        <v>1</v>
      </c>
      <c r="D4" s="1" t="s">
        <v>49</v>
      </c>
      <c r="F4" t="s">
        <v>71</v>
      </c>
      <c r="G4" t="s">
        <v>68</v>
      </c>
      <c r="H4" t="s">
        <v>68</v>
      </c>
      <c r="I4" t="s">
        <v>68</v>
      </c>
      <c r="J4" t="s">
        <v>68</v>
      </c>
      <c r="K4" t="s">
        <v>68</v>
      </c>
      <c r="L4" t="s">
        <v>68</v>
      </c>
      <c r="M4" t="s">
        <v>68</v>
      </c>
      <c r="N4" t="s">
        <v>68</v>
      </c>
    </row>
    <row r="5" spans="1:14" x14ac:dyDescent="0.45">
      <c r="F5" t="s">
        <v>72</v>
      </c>
      <c r="G5" s="4">
        <v>7</v>
      </c>
      <c r="H5" s="4">
        <v>8</v>
      </c>
      <c r="I5" s="4">
        <v>9</v>
      </c>
      <c r="J5" s="4">
        <v>10</v>
      </c>
      <c r="K5" s="4">
        <v>11</v>
      </c>
      <c r="L5" s="4">
        <v>12</v>
      </c>
      <c r="M5" s="4">
        <v>13</v>
      </c>
      <c r="N5" s="4">
        <v>14</v>
      </c>
    </row>
    <row r="6" spans="1:14" x14ac:dyDescent="0.45">
      <c r="F6" t="s">
        <v>76</v>
      </c>
      <c r="G6" s="4" t="s">
        <v>74</v>
      </c>
      <c r="H6" s="4" t="s">
        <v>75</v>
      </c>
      <c r="I6" s="4"/>
      <c r="J6" s="4"/>
      <c r="K6" s="4"/>
      <c r="L6" s="4"/>
      <c r="M6" s="4"/>
      <c r="N6" s="4"/>
    </row>
    <row r="7" spans="1:14" x14ac:dyDescent="0.45">
      <c r="G7" s="6">
        <v>1</v>
      </c>
      <c r="H7" s="6">
        <v>6900651</v>
      </c>
      <c r="I7" s="6">
        <v>7185210</v>
      </c>
      <c r="J7" s="5" t="s">
        <v>35</v>
      </c>
      <c r="K7" s="6">
        <v>21</v>
      </c>
      <c r="L7" s="6">
        <v>11</v>
      </c>
      <c r="M7" s="5" t="s">
        <v>36</v>
      </c>
      <c r="N7" s="5" t="s">
        <v>37</v>
      </c>
    </row>
    <row r="8" spans="1:14" x14ac:dyDescent="0.45">
      <c r="G8" s="6">
        <v>2</v>
      </c>
      <c r="H8" s="6">
        <v>6900652</v>
      </c>
      <c r="I8" s="6">
        <v>7185211</v>
      </c>
      <c r="J8" s="5" t="s">
        <v>38</v>
      </c>
      <c r="K8" s="6">
        <v>21</v>
      </c>
      <c r="L8" s="6">
        <v>11</v>
      </c>
      <c r="M8" s="5" t="s">
        <v>36</v>
      </c>
      <c r="N8" s="5" t="s">
        <v>37</v>
      </c>
    </row>
    <row r="9" spans="1:14" x14ac:dyDescent="0.45">
      <c r="G9" s="6">
        <v>3</v>
      </c>
      <c r="H9" s="6">
        <v>6900650</v>
      </c>
      <c r="I9" s="6">
        <v>1</v>
      </c>
      <c r="J9" s="5" t="s">
        <v>39</v>
      </c>
      <c r="K9" s="6">
        <v>1</v>
      </c>
      <c r="L9" s="6">
        <v>1</v>
      </c>
      <c r="M9" s="5" t="s">
        <v>40</v>
      </c>
      <c r="N9" s="5" t="s">
        <v>40</v>
      </c>
    </row>
    <row r="10" spans="1:14" x14ac:dyDescent="0.45">
      <c r="G10" s="6">
        <v>1</v>
      </c>
      <c r="H10" s="6">
        <v>6900651</v>
      </c>
      <c r="I10" s="6">
        <v>7185210</v>
      </c>
      <c r="J10" s="5" t="s">
        <v>35</v>
      </c>
      <c r="K10" s="6">
        <v>21</v>
      </c>
      <c r="L10" s="6">
        <v>11</v>
      </c>
      <c r="M10" s="5" t="s">
        <v>36</v>
      </c>
      <c r="N10" s="5" t="s">
        <v>37</v>
      </c>
    </row>
    <row r="11" spans="1:14" x14ac:dyDescent="0.45">
      <c r="A11" s="28" t="s">
        <v>51</v>
      </c>
      <c r="B11" s="1" t="s">
        <v>49</v>
      </c>
      <c r="C11" s="29" t="s">
        <v>50</v>
      </c>
      <c r="D11" s="29"/>
      <c r="G11" s="6">
        <v>2</v>
      </c>
      <c r="H11" s="6">
        <v>6900652</v>
      </c>
      <c r="I11" s="6">
        <v>7185211</v>
      </c>
      <c r="J11" s="5" t="s">
        <v>38</v>
      </c>
      <c r="K11" s="6">
        <v>21</v>
      </c>
      <c r="L11" s="6">
        <v>11</v>
      </c>
      <c r="M11" s="5" t="s">
        <v>36</v>
      </c>
      <c r="N11" s="5" t="s">
        <v>37</v>
      </c>
    </row>
    <row r="12" spans="1:14" x14ac:dyDescent="0.45">
      <c r="A12" s="2" t="s">
        <v>3</v>
      </c>
      <c r="B12" s="3" t="s">
        <v>1</v>
      </c>
      <c r="C12" s="3" t="s">
        <v>64</v>
      </c>
      <c r="D12" s="3"/>
      <c r="G12" s="6">
        <v>3</v>
      </c>
      <c r="H12" s="6">
        <v>6900650</v>
      </c>
      <c r="I12" s="6">
        <v>1</v>
      </c>
      <c r="J12" s="5" t="s">
        <v>39</v>
      </c>
      <c r="K12" s="6">
        <v>1</v>
      </c>
      <c r="L12" s="6">
        <v>1</v>
      </c>
      <c r="M12" s="5" t="s">
        <v>40</v>
      </c>
      <c r="N12" s="5" t="s">
        <v>40</v>
      </c>
    </row>
    <row r="13" spans="1:14" x14ac:dyDescent="0.45">
      <c r="A13" t="s">
        <v>43</v>
      </c>
      <c r="B13">
        <v>1</v>
      </c>
      <c r="C13" t="s">
        <v>65</v>
      </c>
    </row>
    <row r="14" spans="1:14" x14ac:dyDescent="0.45">
      <c r="B14">
        <v>2</v>
      </c>
      <c r="C14" t="s">
        <v>65</v>
      </c>
    </row>
    <row r="15" spans="1:14" x14ac:dyDescent="0.45">
      <c r="B15">
        <v>3</v>
      </c>
      <c r="C15" t="s">
        <v>65</v>
      </c>
    </row>
    <row r="16" spans="1:14" x14ac:dyDescent="0.45">
      <c r="A16" t="s">
        <v>43</v>
      </c>
      <c r="B16">
        <v>1</v>
      </c>
      <c r="C16" t="s">
        <v>66</v>
      </c>
    </row>
    <row r="17" spans="1:14" x14ac:dyDescent="0.45">
      <c r="B17">
        <v>2</v>
      </c>
      <c r="C17" t="s">
        <v>66</v>
      </c>
    </row>
    <row r="18" spans="1:14" x14ac:dyDescent="0.45">
      <c r="B18">
        <v>3</v>
      </c>
      <c r="C18" t="s">
        <v>66</v>
      </c>
    </row>
    <row r="26" spans="1:14" x14ac:dyDescent="0.45">
      <c r="A26" s="1" t="s">
        <v>51</v>
      </c>
      <c r="B26" s="1" t="s">
        <v>49</v>
      </c>
      <c r="C26" s="1" t="s">
        <v>50</v>
      </c>
      <c r="D26" s="1"/>
      <c r="E26" s="1"/>
      <c r="F26" s="1" t="str">
        <f>"DELETE "&amp;B26&amp; " WHERE 1=1"</f>
        <v>DELETE BUILD_INFO WHERE 1=1</v>
      </c>
      <c r="G26" t="s">
        <v>8</v>
      </c>
      <c r="H26" t="s">
        <v>9</v>
      </c>
      <c r="I26" t="s">
        <v>10</v>
      </c>
      <c r="J26" t="s">
        <v>11</v>
      </c>
      <c r="K26" t="s">
        <v>12</v>
      </c>
      <c r="L26" t="s">
        <v>13</v>
      </c>
      <c r="M26" t="s">
        <v>14</v>
      </c>
      <c r="N26" t="s">
        <v>15</v>
      </c>
    </row>
    <row r="27" spans="1:14" x14ac:dyDescent="0.45">
      <c r="A27" s="2" t="s">
        <v>3</v>
      </c>
      <c r="B27" s="3" t="s">
        <v>1</v>
      </c>
      <c r="C27" s="3" t="s">
        <v>2</v>
      </c>
      <c r="D27" s="3"/>
      <c r="E27" s="3"/>
      <c r="F27" s="3" t="s">
        <v>0</v>
      </c>
      <c r="G27" s="4" t="s">
        <v>16</v>
      </c>
      <c r="H27" s="4" t="s">
        <v>17</v>
      </c>
      <c r="I27" s="4" t="s">
        <v>6</v>
      </c>
      <c r="J27" s="4" t="s">
        <v>18</v>
      </c>
      <c r="K27" s="4" t="s">
        <v>19</v>
      </c>
      <c r="L27" s="4" t="s">
        <v>20</v>
      </c>
      <c r="M27" s="4" t="s">
        <v>21</v>
      </c>
      <c r="N27" s="4" t="s">
        <v>22</v>
      </c>
    </row>
    <row r="28" spans="1:14" x14ac:dyDescent="0.45">
      <c r="A28" t="s">
        <v>43</v>
      </c>
      <c r="B28">
        <v>1</v>
      </c>
      <c r="G28" s="6">
        <v>1</v>
      </c>
      <c r="H28" s="6">
        <v>1</v>
      </c>
      <c r="I28" s="5" t="s">
        <v>7</v>
      </c>
      <c r="J28" s="5" t="s">
        <v>23</v>
      </c>
      <c r="K28" s="6">
        <v>12</v>
      </c>
      <c r="L28" s="6">
        <v>32</v>
      </c>
      <c r="M28" s="6">
        <v>44</v>
      </c>
      <c r="N28" s="6">
        <v>55</v>
      </c>
    </row>
    <row r="29" spans="1:14" x14ac:dyDescent="0.45">
      <c r="B29">
        <v>2</v>
      </c>
      <c r="G29" s="6">
        <v>2</v>
      </c>
      <c r="H29" s="6">
        <v>2</v>
      </c>
      <c r="I29" s="5" t="s">
        <v>7</v>
      </c>
      <c r="J29" s="5" t="s">
        <v>24</v>
      </c>
      <c r="K29" s="6">
        <v>11</v>
      </c>
      <c r="L29" s="6">
        <v>10</v>
      </c>
      <c r="M29" s="6">
        <v>88</v>
      </c>
      <c r="N29" s="6">
        <v>1</v>
      </c>
    </row>
    <row r="30" spans="1:14" x14ac:dyDescent="0.45">
      <c r="B30">
        <v>3</v>
      </c>
      <c r="G30" s="6">
        <v>3</v>
      </c>
      <c r="H30" s="6">
        <v>1</v>
      </c>
      <c r="I30" s="5" t="s">
        <v>25</v>
      </c>
      <c r="J30" s="5" t="s">
        <v>26</v>
      </c>
      <c r="K30" s="6">
        <v>11</v>
      </c>
      <c r="L30" s="6">
        <v>10</v>
      </c>
      <c r="M30" s="6">
        <v>88</v>
      </c>
      <c r="N30" s="6">
        <v>1</v>
      </c>
    </row>
    <row r="31" spans="1:14" x14ac:dyDescent="0.45">
      <c r="B31">
        <v>4</v>
      </c>
      <c r="G31" s="6">
        <v>4</v>
      </c>
      <c r="H31" s="6">
        <v>3</v>
      </c>
      <c r="I31" s="5" t="s">
        <v>7</v>
      </c>
      <c r="J31" s="5" t="s">
        <v>27</v>
      </c>
      <c r="K31" s="6">
        <v>11</v>
      </c>
      <c r="L31" s="6">
        <v>10</v>
      </c>
      <c r="M31" s="6">
        <v>88</v>
      </c>
      <c r="N31" s="6">
        <v>1</v>
      </c>
    </row>
    <row r="33" spans="7:7" x14ac:dyDescent="0.45">
      <c r="G33" t="s">
        <v>56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EEDBA-3DE4-4D91-9B23-192BA54961A5}">
  <sheetPr codeName="Sheet19"/>
  <dimension ref="A1:J11"/>
  <sheetViews>
    <sheetView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ColWidth="12.5" defaultRowHeight="12.6" x14ac:dyDescent="0.45"/>
  <cols>
    <col min="1" max="1" width="16.5" style="77" customWidth="1"/>
    <col min="2" max="2" width="38.59765625" style="77" customWidth="1"/>
    <col min="3" max="3" width="7.5" style="77" bestFit="1" customWidth="1"/>
    <col min="4" max="4" width="22.8984375" style="77" bestFit="1" customWidth="1"/>
    <col min="5" max="5" width="27.69921875" style="77" customWidth="1"/>
    <col min="6" max="6" width="33" style="77" customWidth="1"/>
    <col min="7" max="7" width="8.69921875" style="77" bestFit="1" customWidth="1"/>
    <col min="8" max="8" width="8.59765625" style="77" bestFit="1" customWidth="1"/>
    <col min="9" max="9" width="13.8984375" style="77" bestFit="1" customWidth="1"/>
    <col min="10" max="10" width="8.59765625" style="77" bestFit="1" customWidth="1"/>
    <col min="11" max="11" width="7.19921875" style="77" bestFit="1" customWidth="1"/>
    <col min="12" max="15" width="12.5" style="77"/>
    <col min="16" max="16" width="22.69921875" style="77" customWidth="1"/>
    <col min="17" max="16384" width="12.5" style="77"/>
  </cols>
  <sheetData>
    <row r="1" spans="1:10" ht="18.75" customHeight="1" thickBot="1" x14ac:dyDescent="0.5">
      <c r="A1" s="96" t="s">
        <v>59</v>
      </c>
      <c r="B1" s="97" t="s">
        <v>202</v>
      </c>
      <c r="C1" s="98" t="s">
        <v>60</v>
      </c>
      <c r="D1" s="99" t="s">
        <v>146</v>
      </c>
      <c r="E1" s="98" t="s">
        <v>58</v>
      </c>
      <c r="F1" s="99" t="s">
        <v>203</v>
      </c>
      <c r="G1" s="98" t="s">
        <v>57</v>
      </c>
      <c r="H1" s="99" t="s">
        <v>204</v>
      </c>
      <c r="I1" s="98" t="s">
        <v>141</v>
      </c>
      <c r="J1" s="99" t="s">
        <v>204</v>
      </c>
    </row>
    <row r="2" spans="1:10" ht="18.75" customHeight="1" x14ac:dyDescent="0.45"/>
    <row r="3" spans="1:10" ht="18.75" customHeight="1" x14ac:dyDescent="0.45">
      <c r="A3" s="77" t="s">
        <v>152</v>
      </c>
      <c r="F3" s="110" t="s">
        <v>201</v>
      </c>
    </row>
    <row r="4" spans="1:10" x14ac:dyDescent="0.45">
      <c r="A4" s="75" t="s">
        <v>153</v>
      </c>
      <c r="B4" s="104" t="s">
        <v>167</v>
      </c>
      <c r="C4" s="87" t="s">
        <v>64</v>
      </c>
      <c r="D4" s="75" t="s">
        <v>155</v>
      </c>
      <c r="E4" s="75" t="s">
        <v>149</v>
      </c>
      <c r="F4" s="75" t="s">
        <v>150</v>
      </c>
      <c r="G4" s="75" t="s">
        <v>151</v>
      </c>
      <c r="H4" s="75" t="s">
        <v>102</v>
      </c>
      <c r="I4" s="100" t="s">
        <v>156</v>
      </c>
      <c r="J4" s="77" t="s">
        <v>98</v>
      </c>
    </row>
    <row r="5" spans="1:10" x14ac:dyDescent="0.45">
      <c r="A5" s="74" t="s">
        <v>78</v>
      </c>
      <c r="B5" s="74" t="s">
        <v>211</v>
      </c>
      <c r="C5" s="77" t="s">
        <v>148</v>
      </c>
      <c r="D5" s="74" t="s">
        <v>154</v>
      </c>
      <c r="E5" s="74" t="s">
        <v>205</v>
      </c>
      <c r="F5" s="74"/>
    </row>
    <row r="6" spans="1:10" x14ac:dyDescent="0.45">
      <c r="A6" s="77" t="s">
        <v>79</v>
      </c>
      <c r="B6" s="74" t="s">
        <v>211</v>
      </c>
      <c r="C6" s="77" t="s">
        <v>148</v>
      </c>
      <c r="D6" s="74" t="s">
        <v>154</v>
      </c>
      <c r="E6" s="74" t="s">
        <v>205</v>
      </c>
    </row>
    <row r="7" spans="1:10" x14ac:dyDescent="0.45">
      <c r="A7" s="77" t="s">
        <v>212</v>
      </c>
      <c r="B7" s="74" t="s">
        <v>211</v>
      </c>
      <c r="C7" s="77" t="s">
        <v>148</v>
      </c>
      <c r="D7" s="74" t="s">
        <v>154</v>
      </c>
      <c r="E7" s="74" t="s">
        <v>205</v>
      </c>
    </row>
    <row r="8" spans="1:10" ht="15" x14ac:dyDescent="0.45">
      <c r="E8" s="101"/>
    </row>
    <row r="9" spans="1:10" ht="15" x14ac:dyDescent="0.45">
      <c r="E9" s="101"/>
    </row>
    <row r="10" spans="1:10" ht="15" x14ac:dyDescent="0.45">
      <c r="E10" s="101"/>
    </row>
    <row r="11" spans="1:10" x14ac:dyDescent="0.45">
      <c r="B11" s="74"/>
      <c r="D11" s="74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4" r:id="rId4" name="Button 4">
              <controlPr defaultSize="0" print="0" autoFill="0" autoPict="0" macro="[0]!btnExecSQL_Click">
                <anchor moveWithCells="1" sizeWithCells="1">
                  <from>
                    <xdr:col>0</xdr:col>
                    <xdr:colOff>1257300</xdr:colOff>
                    <xdr:row>1</xdr:row>
                    <xdr:rowOff>22860</xdr:rowOff>
                  </from>
                  <to>
                    <xdr:col>1</xdr:col>
                    <xdr:colOff>2804160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5" name="Button 5">
              <controlPr defaultSize="0" print="0" autoFill="0" autoPict="0" macro="[0]!btnMakeSQL_Click">
                <anchor moveWithCells="1" sizeWithCells="1">
                  <from>
                    <xdr:col>3</xdr:col>
                    <xdr:colOff>0</xdr:colOff>
                    <xdr:row>1</xdr:row>
                    <xdr:rowOff>22860</xdr:rowOff>
                  </from>
                  <to>
                    <xdr:col>4</xdr:col>
                    <xdr:colOff>22860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2D244-8D47-4272-B5DD-21C62B005A83}">
  <sheetPr codeName="Sheet6"/>
  <dimension ref="A2:C15"/>
  <sheetViews>
    <sheetView workbookViewId="0"/>
  </sheetViews>
  <sheetFormatPr defaultColWidth="12.3984375" defaultRowHeight="12.6" x14ac:dyDescent="0.45"/>
  <cols>
    <col min="1" max="1" width="15" style="77" bestFit="1" customWidth="1"/>
    <col min="2" max="7" width="12.3984375" style="77"/>
    <col min="8" max="8" width="14.19921875" style="77" bestFit="1" customWidth="1"/>
    <col min="9" max="9" width="16.3984375" style="77" bestFit="1" customWidth="1"/>
    <col min="10" max="16384" width="12.3984375" style="77"/>
  </cols>
  <sheetData>
    <row r="2" spans="1:3" s="93" customFormat="1" x14ac:dyDescent="0.45">
      <c r="A2" s="93" t="s">
        <v>139</v>
      </c>
      <c r="B2" s="113" t="s">
        <v>210</v>
      </c>
    </row>
    <row r="3" spans="1:3" x14ac:dyDescent="0.45">
      <c r="A3" s="102" t="s">
        <v>206</v>
      </c>
      <c r="B3" s="111" t="s">
        <v>207</v>
      </c>
      <c r="C3" s="111" t="s">
        <v>208</v>
      </c>
    </row>
    <row r="4" spans="1:3" x14ac:dyDescent="0.45">
      <c r="B4" s="112" t="s">
        <v>139</v>
      </c>
      <c r="C4" s="112" t="s">
        <v>200</v>
      </c>
    </row>
    <row r="5" spans="1:3" x14ac:dyDescent="0.45">
      <c r="B5" s="112" t="s">
        <v>140</v>
      </c>
      <c r="C5" s="112" t="s">
        <v>209</v>
      </c>
    </row>
    <row r="7" spans="1:3" s="93" customFormat="1" x14ac:dyDescent="0.45">
      <c r="A7" s="93" t="s">
        <v>140</v>
      </c>
      <c r="B7" s="113" t="s">
        <v>210</v>
      </c>
    </row>
    <row r="8" spans="1:3" x14ac:dyDescent="0.45">
      <c r="A8" s="102" t="s">
        <v>206</v>
      </c>
      <c r="B8" s="111" t="s">
        <v>207</v>
      </c>
      <c r="C8" s="111" t="s">
        <v>208</v>
      </c>
    </row>
    <row r="9" spans="1:3" x14ac:dyDescent="0.45">
      <c r="B9" s="112" t="s">
        <v>139</v>
      </c>
      <c r="C9" s="112" t="s">
        <v>200</v>
      </c>
    </row>
    <row r="10" spans="1:3" x14ac:dyDescent="0.45">
      <c r="B10" s="112" t="s">
        <v>140</v>
      </c>
      <c r="C10" s="112" t="s">
        <v>209</v>
      </c>
    </row>
    <row r="12" spans="1:3" s="93" customFormat="1" x14ac:dyDescent="0.45">
      <c r="A12" s="93" t="s">
        <v>80</v>
      </c>
      <c r="B12" s="113" t="s">
        <v>210</v>
      </c>
    </row>
    <row r="13" spans="1:3" x14ac:dyDescent="0.45">
      <c r="A13" s="102" t="s">
        <v>206</v>
      </c>
      <c r="B13" s="111" t="s">
        <v>207</v>
      </c>
      <c r="C13" s="111" t="s">
        <v>208</v>
      </c>
    </row>
    <row r="14" spans="1:3" x14ac:dyDescent="0.45">
      <c r="B14" s="112" t="s">
        <v>139</v>
      </c>
      <c r="C14" s="112" t="s">
        <v>200</v>
      </c>
    </row>
    <row r="15" spans="1:3" x14ac:dyDescent="0.45">
      <c r="B15" s="112" t="s">
        <v>140</v>
      </c>
      <c r="C15" s="112" t="s">
        <v>209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35815-5805-4BA8-94A5-2B54DDA612F5}">
  <sheetPr codeName="Sheet8"/>
  <dimension ref="A1:T16"/>
  <sheetViews>
    <sheetView zoomScale="85" zoomScaleNormal="85" workbookViewId="0">
      <selection activeCell="F28" sqref="F28"/>
    </sheetView>
  </sheetViews>
  <sheetFormatPr defaultColWidth="12.5" defaultRowHeight="14.4" x14ac:dyDescent="0.45"/>
  <cols>
    <col min="1" max="15" width="12.5" style="32"/>
    <col min="16" max="16" width="22.69921875" style="32" customWidth="1"/>
    <col min="17" max="16384" width="12.5" style="32"/>
  </cols>
  <sheetData>
    <row r="1" spans="1:20" s="77" customFormat="1" ht="18.75" customHeight="1" thickBot="1" x14ac:dyDescent="0.5">
      <c r="A1" s="96" t="s">
        <v>59</v>
      </c>
      <c r="B1" s="97" t="str">
        <f>BatchQuery!B1</f>
        <v>localhost</v>
      </c>
      <c r="C1" s="98" t="s">
        <v>60</v>
      </c>
      <c r="D1" s="99" t="str">
        <f>BatchQuery!D1</f>
        <v>1521</v>
      </c>
      <c r="E1" s="98" t="s">
        <v>58</v>
      </c>
      <c r="F1" s="99" t="str">
        <f>BatchQuery!F1</f>
        <v>XEPDB1</v>
      </c>
      <c r="G1" s="98" t="s">
        <v>57</v>
      </c>
      <c r="H1" s="99" t="str">
        <f>BatchQuery!H1</f>
        <v>atman</v>
      </c>
      <c r="I1" s="98" t="s">
        <v>141</v>
      </c>
      <c r="J1" s="99" t="str">
        <f>BatchQuery!J1</f>
        <v>atman</v>
      </c>
    </row>
    <row r="2" spans="1:20" ht="27.6" customHeight="1" thickBot="1" x14ac:dyDescent="0.5">
      <c r="A2" s="69" t="s">
        <v>51</v>
      </c>
      <c r="B2" s="73">
        <v>1</v>
      </c>
      <c r="C2" s="63" t="s">
        <v>77</v>
      </c>
      <c r="D2" s="68" t="s">
        <v>205</v>
      </c>
      <c r="E2" s="65" t="s">
        <v>98</v>
      </c>
      <c r="F2" s="66" t="s">
        <v>147</v>
      </c>
      <c r="G2" s="70" t="s">
        <v>102</v>
      </c>
      <c r="H2" s="71" t="s">
        <v>78</v>
      </c>
      <c r="I2" s="70"/>
      <c r="J2" s="72"/>
      <c r="K2" s="69" t="s">
        <v>143</v>
      </c>
      <c r="L2" s="84" t="s">
        <v>185</v>
      </c>
    </row>
    <row r="3" spans="1:20" ht="22.95" customHeight="1" thickBot="1" x14ac:dyDescent="0.5">
      <c r="A3" s="67" t="s">
        <v>99</v>
      </c>
      <c r="B3" s="85"/>
      <c r="C3" s="94" t="s">
        <v>186</v>
      </c>
      <c r="D3" s="94"/>
      <c r="E3" s="94"/>
      <c r="F3" s="94"/>
      <c r="G3" s="94"/>
      <c r="H3" s="94"/>
      <c r="I3" s="94"/>
      <c r="J3" s="94"/>
      <c r="K3" s="94"/>
      <c r="L3" s="95"/>
    </row>
    <row r="4" spans="1:20" ht="19.2" hidden="1" customHeight="1" x14ac:dyDescent="0.45">
      <c r="A4" s="83"/>
      <c r="B4"/>
      <c r="C4"/>
      <c r="D4"/>
      <c r="E4"/>
      <c r="F4"/>
      <c r="G4"/>
      <c r="H4"/>
      <c r="I4"/>
      <c r="J4"/>
      <c r="K4"/>
      <c r="L4"/>
    </row>
    <row r="5" spans="1:20" ht="19.2" hidden="1" customHeight="1" x14ac:dyDescent="0.45">
      <c r="A5" s="83"/>
      <c r="B5"/>
      <c r="C5"/>
      <c r="D5"/>
      <c r="E5"/>
      <c r="F5"/>
      <c r="G5"/>
      <c r="H5"/>
      <c r="I5"/>
      <c r="J5"/>
      <c r="K5"/>
      <c r="L5"/>
    </row>
    <row r="6" spans="1:20" ht="19.2" hidden="1" customHeight="1" x14ac:dyDescent="0.45">
      <c r="A6" s="83"/>
      <c r="B6"/>
      <c r="C6"/>
      <c r="D6"/>
      <c r="E6"/>
      <c r="F6"/>
      <c r="G6"/>
      <c r="H6"/>
      <c r="I6"/>
      <c r="J6"/>
      <c r="K6"/>
      <c r="L6"/>
    </row>
    <row r="7" spans="1:20" s="64" customFormat="1" ht="18.600000000000001" customHeight="1" x14ac:dyDescent="0.45">
      <c r="A7" s="105" t="s">
        <v>109</v>
      </c>
      <c r="B7" s="103"/>
      <c r="C7" s="103"/>
      <c r="D7"/>
      <c r="E7"/>
      <c r="F7"/>
      <c r="G7"/>
      <c r="H7" s="32"/>
      <c r="I7" s="32"/>
      <c r="J7"/>
      <c r="K7"/>
      <c r="L7"/>
      <c r="M7"/>
      <c r="N7"/>
      <c r="O7"/>
      <c r="P7"/>
      <c r="Q7"/>
      <c r="R7"/>
      <c r="S7"/>
      <c r="T7">
        <v>1</v>
      </c>
    </row>
    <row r="8" spans="1:20" s="64" customFormat="1" ht="18.600000000000001" customHeight="1" x14ac:dyDescent="0.45">
      <c r="A8" s="106" t="s">
        <v>105</v>
      </c>
      <c r="B8" s="108" t="s">
        <v>198</v>
      </c>
      <c r="C8" s="109" t="s">
        <v>199</v>
      </c>
      <c r="D8" s="86" t="s">
        <v>168</v>
      </c>
      <c r="E8" s="86" t="s">
        <v>169</v>
      </c>
      <c r="F8" s="86" t="s">
        <v>170</v>
      </c>
      <c r="G8" s="86" t="s">
        <v>171</v>
      </c>
      <c r="H8" s="86" t="s">
        <v>179</v>
      </c>
      <c r="I8" s="86" t="s">
        <v>180</v>
      </c>
      <c r="J8" s="86" t="s">
        <v>172</v>
      </c>
      <c r="K8" s="86" t="s">
        <v>173</v>
      </c>
      <c r="L8" s="86" t="s">
        <v>174</v>
      </c>
      <c r="M8" s="86" t="s">
        <v>175</v>
      </c>
      <c r="N8"/>
      <c r="O8"/>
      <c r="P8"/>
      <c r="Q8"/>
      <c r="R8"/>
      <c r="S8"/>
      <c r="T8"/>
    </row>
    <row r="9" spans="1:20" s="64" customFormat="1" ht="18.600000000000001" customHeight="1" x14ac:dyDescent="0.45">
      <c r="A9" s="106" t="s">
        <v>106</v>
      </c>
      <c r="B9" s="107" t="s">
        <v>176</v>
      </c>
      <c r="C9" s="86" t="s">
        <v>178</v>
      </c>
      <c r="D9" s="86" t="s">
        <v>168</v>
      </c>
      <c r="E9" s="86" t="s">
        <v>169</v>
      </c>
      <c r="F9" s="86" t="s">
        <v>170</v>
      </c>
      <c r="G9" s="86" t="s">
        <v>171</v>
      </c>
      <c r="H9" s="86" t="s">
        <v>179</v>
      </c>
      <c r="I9" s="86" t="s">
        <v>180</v>
      </c>
      <c r="J9" s="86" t="s">
        <v>172</v>
      </c>
      <c r="K9" s="86" t="s">
        <v>173</v>
      </c>
      <c r="L9" s="86" t="s">
        <v>174</v>
      </c>
      <c r="M9" s="86" t="s">
        <v>175</v>
      </c>
      <c r="N9"/>
      <c r="O9"/>
      <c r="P9"/>
      <c r="Q9"/>
      <c r="R9"/>
      <c r="S9"/>
      <c r="T9"/>
    </row>
    <row r="10" spans="1:20" s="64" customFormat="1" ht="18.600000000000001" customHeight="1" x14ac:dyDescent="0.45">
      <c r="A10" s="106" t="s">
        <v>107</v>
      </c>
      <c r="B10" s="107" t="s">
        <v>136</v>
      </c>
      <c r="C10" s="86" t="s">
        <v>134</v>
      </c>
      <c r="D10" s="86" t="s">
        <v>182</v>
      </c>
      <c r="E10" s="86" t="s">
        <v>134</v>
      </c>
      <c r="F10" s="86" t="s">
        <v>134</v>
      </c>
      <c r="G10" s="86" t="s">
        <v>134</v>
      </c>
      <c r="H10" s="86" t="s">
        <v>134</v>
      </c>
      <c r="I10" s="86" t="s">
        <v>134</v>
      </c>
      <c r="J10" s="86" t="s">
        <v>136</v>
      </c>
      <c r="K10" s="86" t="s">
        <v>136</v>
      </c>
      <c r="L10" s="86" t="s">
        <v>136</v>
      </c>
      <c r="M10" s="86" t="s">
        <v>136</v>
      </c>
      <c r="N10"/>
      <c r="O10"/>
      <c r="P10"/>
      <c r="Q10"/>
      <c r="R10"/>
      <c r="S10"/>
      <c r="T10"/>
    </row>
    <row r="11" spans="1:20" s="64" customFormat="1" ht="18.600000000000001" customHeight="1" x14ac:dyDescent="0.45">
      <c r="A11" s="106" t="s">
        <v>137</v>
      </c>
      <c r="B11" s="107">
        <v>20</v>
      </c>
      <c r="C11" s="86" t="s">
        <v>184</v>
      </c>
      <c r="D11" s="86">
        <v>10</v>
      </c>
      <c r="E11" s="86" t="s">
        <v>183</v>
      </c>
      <c r="F11" s="86" t="s">
        <v>184</v>
      </c>
      <c r="G11" s="86" t="s">
        <v>184</v>
      </c>
      <c r="H11" s="86" t="s">
        <v>144</v>
      </c>
      <c r="I11" s="86" t="s">
        <v>184</v>
      </c>
      <c r="J11" s="86">
        <v>50</v>
      </c>
      <c r="K11" s="86">
        <v>19</v>
      </c>
      <c r="L11" s="86">
        <v>50</v>
      </c>
      <c r="M11" s="86">
        <v>19</v>
      </c>
      <c r="N11"/>
      <c r="O11"/>
      <c r="P11"/>
      <c r="Q11"/>
      <c r="R11"/>
      <c r="S11"/>
      <c r="T11"/>
    </row>
    <row r="12" spans="1:20" ht="18" x14ac:dyDescent="0.45">
      <c r="A12" s="106" t="s">
        <v>138</v>
      </c>
      <c r="B12" s="107" t="s">
        <v>135</v>
      </c>
      <c r="C12" s="86" t="s">
        <v>135</v>
      </c>
      <c r="D12" s="86" t="s">
        <v>142</v>
      </c>
      <c r="E12" s="86" t="s">
        <v>142</v>
      </c>
      <c r="F12" s="86" t="s">
        <v>142</v>
      </c>
      <c r="G12" s="86" t="s">
        <v>142</v>
      </c>
      <c r="H12" s="86" t="s">
        <v>142</v>
      </c>
      <c r="I12" s="86" t="s">
        <v>142</v>
      </c>
      <c r="J12" s="86" t="s">
        <v>142</v>
      </c>
      <c r="K12" s="86" t="s">
        <v>142</v>
      </c>
      <c r="L12" s="86" t="s">
        <v>142</v>
      </c>
      <c r="M12" s="86" t="s">
        <v>142</v>
      </c>
      <c r="N12"/>
      <c r="O12"/>
      <c r="P12"/>
      <c r="Q12"/>
      <c r="R12"/>
      <c r="S12"/>
      <c r="T12"/>
    </row>
    <row r="13" spans="1:20" x14ac:dyDescent="0.45">
      <c r="B13" s="32" t="s">
        <v>187</v>
      </c>
      <c r="C13" s="32" t="s">
        <v>139</v>
      </c>
      <c r="D13" s="32" t="s">
        <v>188</v>
      </c>
      <c r="E13" s="32" t="s">
        <v>139</v>
      </c>
      <c r="F13" s="32" t="s">
        <v>139</v>
      </c>
      <c r="G13" s="32" t="s">
        <v>139</v>
      </c>
      <c r="H13" s="32" t="s">
        <v>145</v>
      </c>
      <c r="I13" s="32" t="s">
        <v>139</v>
      </c>
      <c r="J13" s="32" t="s">
        <v>177</v>
      </c>
      <c r="K13" s="32" t="s">
        <v>189</v>
      </c>
      <c r="L13" s="32" t="s">
        <v>190</v>
      </c>
      <c r="M13" s="32" t="s">
        <v>177</v>
      </c>
    </row>
    <row r="14" spans="1:20" x14ac:dyDescent="0.45">
      <c r="B14" s="32" t="s">
        <v>187</v>
      </c>
      <c r="C14" s="32" t="s">
        <v>140</v>
      </c>
      <c r="D14" s="32" t="s">
        <v>188</v>
      </c>
      <c r="E14" s="32" t="s">
        <v>139</v>
      </c>
      <c r="F14" s="32" t="s">
        <v>139</v>
      </c>
      <c r="G14" s="32" t="s">
        <v>139</v>
      </c>
      <c r="H14" s="32" t="s">
        <v>145</v>
      </c>
      <c r="I14" s="32" t="s">
        <v>140</v>
      </c>
      <c r="J14" s="32" t="s">
        <v>177</v>
      </c>
      <c r="K14" s="32" t="s">
        <v>189</v>
      </c>
      <c r="L14" s="32" t="s">
        <v>190</v>
      </c>
      <c r="M14" s="32" t="s">
        <v>177</v>
      </c>
    </row>
    <row r="15" spans="1:20" x14ac:dyDescent="0.45">
      <c r="B15" s="32" t="s">
        <v>191</v>
      </c>
      <c r="C15" s="32" t="s">
        <v>139</v>
      </c>
      <c r="D15" s="32" t="s">
        <v>181</v>
      </c>
      <c r="E15" s="32" t="s">
        <v>139</v>
      </c>
      <c r="F15" s="32" t="s">
        <v>139</v>
      </c>
      <c r="G15" s="32" t="s">
        <v>139</v>
      </c>
      <c r="H15" s="32" t="s">
        <v>145</v>
      </c>
      <c r="I15" s="32" t="s">
        <v>139</v>
      </c>
      <c r="J15" s="32" t="s">
        <v>177</v>
      </c>
      <c r="K15" s="32" t="s">
        <v>192</v>
      </c>
      <c r="L15" s="32" t="s">
        <v>193</v>
      </c>
      <c r="M15" s="32" t="s">
        <v>177</v>
      </c>
    </row>
    <row r="16" spans="1:20" x14ac:dyDescent="0.45">
      <c r="B16" s="32" t="s">
        <v>194</v>
      </c>
      <c r="C16" s="32" t="s">
        <v>139</v>
      </c>
      <c r="D16" s="32" t="s">
        <v>195</v>
      </c>
      <c r="E16" s="32" t="s">
        <v>140</v>
      </c>
      <c r="F16" s="32" t="s">
        <v>140</v>
      </c>
      <c r="G16" s="32" t="s">
        <v>139</v>
      </c>
      <c r="H16" s="32" t="s">
        <v>145</v>
      </c>
      <c r="I16" s="32" t="s">
        <v>139</v>
      </c>
      <c r="J16" s="32" t="s">
        <v>177</v>
      </c>
      <c r="K16" s="32" t="s">
        <v>196</v>
      </c>
      <c r="L16" s="32" t="s">
        <v>197</v>
      </c>
      <c r="M16" s="32" t="s">
        <v>177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btnQuery_Click">
                <anchor moveWithCells="1" sizeWithCells="1">
                  <from>
                    <xdr:col>8</xdr:col>
                    <xdr:colOff>22860</xdr:colOff>
                    <xdr:row>1</xdr:row>
                    <xdr:rowOff>7620</xdr:rowOff>
                  </from>
                  <to>
                    <xdr:col>8</xdr:col>
                    <xdr:colOff>944880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btnUpdate_Click">
                <anchor moveWithCells="1" sizeWithCells="1">
                  <from>
                    <xdr:col>9</xdr:col>
                    <xdr:colOff>22860</xdr:colOff>
                    <xdr:row>1</xdr:row>
                    <xdr:rowOff>22860</xdr:rowOff>
                  </from>
                  <to>
                    <xdr:col>9</xdr:col>
                    <xdr:colOff>937260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btnBackupData_Click">
                <anchor moveWithCells="1" sizeWithCells="1">
                  <from>
                    <xdr:col>10</xdr:col>
                    <xdr:colOff>38100</xdr:colOff>
                    <xdr:row>1</xdr:row>
                    <xdr:rowOff>22860</xdr:rowOff>
                  </from>
                  <to>
                    <xdr:col>11</xdr:col>
                    <xdr:colOff>7620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OracleSQL</vt:lpstr>
      <vt:lpstr>main</vt:lpstr>
      <vt:lpstr>beforeDB</vt:lpstr>
      <vt:lpstr>BatchQuery</vt:lpstr>
      <vt:lpstr>BatchResult</vt:lpstr>
      <vt:lpstr>SingleTable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xiaoguang wang</dc:creator>
  <cp:lastModifiedBy>Yutaro Nakai</cp:lastModifiedBy>
  <dcterms:created xsi:type="dcterms:W3CDTF">2020-03-09T07:43:03Z</dcterms:created>
  <dcterms:modified xsi:type="dcterms:W3CDTF">2023-06-03T06:38:59Z</dcterms:modified>
</cp:coreProperties>
</file>